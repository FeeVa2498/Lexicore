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ttings" sheetId="1" state="visible" r:id="rId1"/>
    <sheet xmlns:r="http://schemas.openxmlformats.org/officeDocument/2006/relationships" name="Unlock Levels" sheetId="2" state="visible" r:id="rId2"/>
    <sheet xmlns:r="http://schemas.openxmlformats.org/officeDocument/2006/relationships" name="XP per Fight" sheetId="3" state="visible" r:id="rId3"/>
    <sheet xmlns:r="http://schemas.openxmlformats.org/officeDocument/2006/relationships" name="Run Estimate" sheetId="4" state="visible" r:id="rId4"/>
    <sheet xmlns:r="http://schemas.openxmlformats.org/officeDocument/2006/relationships" name="Heroes" sheetId="5" state="visible" r:id="rId5"/>
    <sheet xmlns:r="http://schemas.openxmlformats.org/officeDocument/2006/relationships" name="Always Availabl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</font>
    <font>
      <name val="Arial"/>
      <b val="1"/>
      <color rgb="00FFFFFF"/>
    </font>
    <font>
      <name val="Arial"/>
      <color rgb="000000FF"/>
    </font>
    <font>
      <name val="Arial"/>
      <b val="1"/>
    </font>
    <font>
      <name val="Arial"/>
      <color rgb="00008000"/>
    </font>
    <font>
      <name val="Arial"/>
      <color theme="1"/>
      <sz val="11"/>
    </font>
  </fonts>
  <fills count="5">
    <fill>
      <patternFill/>
    </fill>
    <fill>
      <patternFill patternType="gray125"/>
    </fill>
    <fill>
      <patternFill patternType="solid">
        <fgColor rgb="003D3A44"/>
      </patternFill>
    </fill>
    <fill>
      <patternFill patternType="solid">
        <fgColor rgb="00FFF4C2"/>
      </patternFill>
    </fill>
    <fill>
      <patternFill patternType="solid">
        <fgColor rgb="00EFE6FF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7" fillId="0" borderId="0" pivotButton="0" quotePrefix="0" xfId="0"/>
    <xf numFmtId="0" fontId="4" fillId="3" borderId="0" pivotButton="0" quotePrefix="0" xfId="0"/>
    <xf numFmtId="0" fontId="5" fillId="0" borderId="0" pivotButton="0" quotePrefix="0" xfId="0"/>
    <xf numFmtId="0" fontId="7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0" pivotButton="0" quotePrefix="0" xfId="0"/>
    <xf numFmtId="0" fontId="7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Lexicore</author>
  </authors>
  <commentList>
    <comment ref="E12" authorId="0" shapeId="0">
      <text>
        <t>Swear Jar is always the last unlock (level 10).</t>
      </text>
    </comment>
  </commentList>
</comments>
</file>

<file path=xl/comments/comment2.xml><?xml version="1.0" encoding="utf-8"?>
<comments xmlns="http://schemas.openxmlformats.org/spreadsheetml/2006/main">
  <authors>
    <author>Lexicore</author>
  </authors>
  <commentList>
    <comment ref="E4" authorId="0" shapeId="0">
      <text>
        <t>Assumption: a typical path wins ~3 normal fights and ~1 elite per act (8 floors: floor 1 combat, floors 2-3 60% combat, floors 5 and 7 combat/elite). Not measured from playtests.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36" customWidth="1" min="1" max="1"/>
    <col width="10" customWidth="1" min="2" max="2"/>
    <col width="60" customWidth="1" min="3" max="3"/>
  </cols>
  <sheetData>
    <row r="1">
      <c r="A1" s="1" t="inlineStr">
        <is>
          <t>Lexicore – Unlock progression settings</t>
        </is>
      </c>
    </row>
    <row r="2">
      <c r="A2" s="2" t="inlineStr">
        <is>
          <t>Blue cells on yellow are inputs (values from the live game code, rework.js). Change them here and every other sheet updates.</t>
        </is>
      </c>
    </row>
    <row r="3"/>
    <row r="4">
      <c r="A4" s="3" t="inlineStr">
        <is>
          <t>Setting</t>
        </is>
      </c>
      <c r="B4" s="3" t="inlineStr">
        <is>
          <t>Value</t>
        </is>
      </c>
      <c r="C4" s="3" t="inlineStr">
        <is>
          <t>Code / note</t>
        </is>
      </c>
    </row>
    <row r="5">
      <c r="A5" s="4" t="inlineStr">
        <is>
          <t>XP to next level: base</t>
        </is>
      </c>
      <c r="B5" s="5" t="n">
        <v>80</v>
      </c>
      <c r="C5" s="4" t="inlineStr">
        <is>
          <t>xpNeed(lv) = 80 + 15*lv  (lv = current level, starts at 0)</t>
        </is>
      </c>
    </row>
    <row r="6">
      <c r="A6" s="4" t="inlineStr">
        <is>
          <t>XP to next level: per level</t>
        </is>
      </c>
      <c r="B6" s="5" t="n">
        <v>15</v>
      </c>
      <c r="C6" s="4" t="inlineStr"/>
    </row>
    <row r="7">
      <c r="A7" s="4" t="inlineStr">
        <is>
          <t>Max unlock level</t>
        </is>
      </c>
      <c r="B7" s="5" t="n">
        <v>10</v>
      </c>
      <c r="C7" s="4" t="inlineStr">
        <is>
          <t>MAX_UNLOCK</t>
        </is>
      </c>
    </row>
    <row r="8">
      <c r="A8" s="4" t="inlineStr">
        <is>
          <t>Normal fight XP: base (Act 1)</t>
        </is>
      </c>
      <c r="B8" s="5" t="n">
        <v>9</v>
      </c>
      <c r="C8" s="4" t="inlineStr">
        <is>
          <t>fightXp("normal") = 9 + 2*(act-1)</t>
        </is>
      </c>
    </row>
    <row r="9">
      <c r="A9" s="4" t="inlineStr">
        <is>
          <t>Normal fight XP: + per Act</t>
        </is>
      </c>
      <c r="B9" s="5" t="n">
        <v>2</v>
      </c>
      <c r="C9" s="4" t="inlineStr"/>
    </row>
    <row r="10">
      <c r="A10" s="4" t="inlineStr">
        <is>
          <t>Elite fight XP: base (Act 1)</t>
        </is>
      </c>
      <c r="B10" s="5" t="n">
        <v>22</v>
      </c>
      <c r="C10" s="4" t="inlineStr">
        <is>
          <t>fightXp("elite") = 22 + 5*(act-1)</t>
        </is>
      </c>
    </row>
    <row r="11">
      <c r="A11" s="4" t="inlineStr">
        <is>
          <t>Elite fight XP: + per Act</t>
        </is>
      </c>
      <c r="B11" s="5" t="n">
        <v>5</v>
      </c>
      <c r="C11" s="4" t="inlineStr"/>
    </row>
    <row r="12">
      <c r="A12" s="4" t="inlineStr">
        <is>
          <t>Boss fight XP: base (Act 1)</t>
        </is>
      </c>
      <c r="B12" s="5" t="n">
        <v>45</v>
      </c>
      <c r="C12" s="4" t="inlineStr">
        <is>
          <t>fightXp("boss") = 45 + 10*(act-1)</t>
        </is>
      </c>
    </row>
    <row r="13">
      <c r="A13" s="4" t="inlineStr">
        <is>
          <t>Boss fight XP: + per Act</t>
        </is>
      </c>
      <c r="B13" s="5" t="n">
        <v>10</v>
      </c>
      <c r="C13" s="4" t="inlineStr"/>
    </row>
    <row r="14"/>
    <row r="15">
      <c r="A15" s="6" t="inlineStr">
        <is>
          <t>Rules</t>
        </is>
      </c>
    </row>
    <row r="16">
      <c r="A16" s="4" t="inlineStr">
        <is>
          <t>• XP is earned per fight WON during a run and banked when the run ends (death or victory). XP numbers are never shown to the player, only the Unlocks bar.</t>
        </is>
      </c>
    </row>
    <row r="17">
      <c r="A17" s="4" t="inlineStr">
        <is>
          <t>• Each unlock level adds exactly 1 relic and 1 consumable to every pool (shop, chests, elite rewards, events, claw machine, wheel). Locked items never drop.</t>
        </is>
      </c>
    </row>
    <row r="18">
      <c r="A18" s="4" t="inlineStr">
        <is>
          <t>• Leftover XP carries over to the next level. At max level XP stops mattering.</t>
        </is>
      </c>
    </row>
    <row r="19">
      <c r="A19" s="4" t="inlineStr">
        <is>
          <t>• Heroes unlock separately: entering the boss fight is enough (win or lose).</t>
        </is>
      </c>
    </row>
    <row r="20">
      <c r="A20" s="4" t="inlineStr">
        <is>
          <t>• Save data: localStorage "lexicore-progress" = {xp, level, heroes[], seen:{e,w,r,p}}.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2" customWidth="1" min="3" max="3"/>
    <col width="11" customWidth="1" min="4" max="4"/>
    <col width="18" customWidth="1" min="5" max="5"/>
    <col width="48" customWidth="1" min="6" max="6"/>
    <col width="12" customWidth="1" min="7" max="7"/>
    <col width="16" customWidth="1" min="8" max="8"/>
    <col width="48" customWidth="1" min="9" max="9"/>
  </cols>
  <sheetData>
    <row r="1">
      <c r="A1" s="3" t="inlineStr">
        <is>
          <t>Level</t>
        </is>
      </c>
      <c r="B1" s="3" t="inlineStr">
        <is>
          <t>XP needed (from previous level)</t>
        </is>
      </c>
      <c r="C1" s="3" t="inlineStr">
        <is>
          <t>Cumulative XP</t>
        </is>
      </c>
      <c r="D1" s="3" t="inlineStr">
        <is>
          <t>Relic id</t>
        </is>
      </c>
      <c r="E1" s="3" t="inlineStr">
        <is>
          <t>Relic</t>
        </is>
      </c>
      <c r="F1" s="3" t="inlineStr">
        <is>
          <t>Relic effect</t>
        </is>
      </c>
      <c r="G1" s="3" t="inlineStr">
        <is>
          <t>Consumable id</t>
        </is>
      </c>
      <c r="H1" s="3" t="inlineStr">
        <is>
          <t>Consumable</t>
        </is>
      </c>
      <c r="I1" s="3" t="inlineStr">
        <is>
          <t>Consumable effect</t>
        </is>
      </c>
    </row>
    <row r="2">
      <c r="A2" s="7" t="n">
        <v>0</v>
      </c>
      <c r="B2" s="7" t="n">
        <v>0</v>
      </c>
      <c r="C2" s="7" t="n">
        <v>0</v>
      </c>
      <c r="D2" s="8" t="n"/>
      <c r="E2" s="7" t="inlineStr">
        <is>
          <t>(start: every relic not listed below)</t>
        </is>
      </c>
      <c r="F2" s="8" t="n"/>
      <c r="G2" s="8" t="n"/>
      <c r="H2" s="7" t="inlineStr">
        <is>
          <t>(start: every consumable not listed below)</t>
        </is>
      </c>
      <c r="I2" s="8" t="n"/>
    </row>
    <row r="3">
      <c r="A3" s="7" t="n">
        <v>1</v>
      </c>
      <c r="B3" s="9">
        <f>Settings!$B$5+Settings!$B$6*(A3-1)</f>
        <v/>
      </c>
      <c r="C3" s="7">
        <f>C2+B3</f>
        <v/>
      </c>
      <c r="D3" s="7" t="inlineStr">
        <is>
          <t>bounty</t>
        </is>
      </c>
      <c r="E3" s="10" t="inlineStr">
        <is>
          <t>Bounty Poster</t>
        </is>
      </c>
      <c r="F3" s="7" t="inlineStr">
        <is>
          <t>Elites start combat with 25% less HP.</t>
        </is>
      </c>
      <c r="G3" s="7" t="inlineStr">
        <is>
          <t>ragesoda</t>
        </is>
      </c>
      <c r="H3" s="10" t="inlineStr">
        <is>
          <t>Rage Soda</t>
        </is>
      </c>
      <c r="I3" s="7" t="inlineStr">
        <is>
          <t>Gain 10 Might for this turn only.</t>
        </is>
      </c>
    </row>
    <row r="4">
      <c r="A4" s="7" t="n">
        <v>2</v>
      </c>
      <c r="B4" s="9">
        <f>Settings!$B$5+Settings!$B$6*(A4-1)</f>
        <v/>
      </c>
      <c r="C4" s="7">
        <f>C3+B4</f>
        <v/>
      </c>
      <c r="D4" s="7" t="inlineStr">
        <is>
          <t>piggy</t>
        </is>
      </c>
      <c r="E4" s="10" t="inlineStr">
        <is>
          <t>Piggy Bank</t>
        </is>
      </c>
      <c r="F4" s="7" t="inlineStr">
        <is>
          <t>At the end of each combat, gain 10 gold for every 100 gold you hold (125 gold → +10, 230 gold → +20).</t>
        </is>
      </c>
      <c r="G4" s="7" t="inlineStr">
        <is>
          <t>brickmilk</t>
        </is>
      </c>
      <c r="H4" s="10" t="inlineStr">
        <is>
          <t>Brick Milk</t>
        </is>
      </c>
      <c r="I4" s="7" t="inlineStr">
        <is>
          <t>Gain 10 Robust for this turn only.</t>
        </is>
      </c>
    </row>
    <row r="5">
      <c r="A5" s="7" t="n">
        <v>3</v>
      </c>
      <c r="B5" s="9">
        <f>Settings!$B$5+Settings!$B$6*(A5-1)</f>
        <v/>
      </c>
      <c r="C5" s="7">
        <f>C4+B5</f>
        <v/>
      </c>
      <c r="D5" s="7" t="inlineStr">
        <is>
          <t>laminator</t>
        </is>
      </c>
      <c r="E5" s="10" t="inlineStr">
        <is>
          <t>Laminator</t>
        </is>
      </c>
      <c r="F5" s="7" t="inlineStr">
        <is>
          <t>Letter tiles you add to your deck (rewards, shop, claw machine) become Level 2.</t>
        </is>
      </c>
      <c r="G5" s="7" t="inlineStr">
        <is>
          <t>rocket</t>
        </is>
      </c>
      <c r="H5" s="10" t="inlineStr">
        <is>
          <t>Rocket Pop</t>
        </is>
      </c>
      <c r="I5" s="7" t="inlineStr">
        <is>
          <t>Deal 50 damage to the target.</t>
        </is>
      </c>
    </row>
    <row r="6">
      <c r="A6" s="7" t="n">
        <v>4</v>
      </c>
      <c r="B6" s="9">
        <f>Settings!$B$5+Settings!$B$6*(A6-1)</f>
        <v/>
      </c>
      <c r="C6" s="7">
        <f>C5+B6</f>
        <v/>
      </c>
      <c r="D6" s="7" t="inlineStr">
        <is>
          <t>papercut</t>
        </is>
      </c>
      <c r="E6" s="10" t="inlineStr">
        <is>
          <t>Paper Cut</t>
        </is>
      </c>
      <c r="F6" s="7" t="inlineStr">
        <is>
          <t>Every tile you draw during your turn deals 1 damage to a random enemy. (Refilling your hand at the start of the turn doesn't count.)</t>
        </is>
      </c>
      <c r="G6" s="7" t="inlineStr">
        <is>
          <t>cluster</t>
        </is>
      </c>
      <c r="H6" s="10" t="inlineStr">
        <is>
          <t>Cluster Bomb</t>
        </is>
      </c>
      <c r="I6" s="7" t="inlineStr">
        <is>
          <t>Deal 25 damage to ALL enemies.</t>
        </is>
      </c>
    </row>
    <row r="7">
      <c r="A7" s="7" t="n">
        <v>5</v>
      </c>
      <c r="B7" s="9">
        <f>Settings!$B$5+Settings!$B$6*(A7-1)</f>
        <v/>
      </c>
      <c r="C7" s="7">
        <f>C6+B7</f>
        <v/>
      </c>
      <c r="D7" s="7" t="inlineStr">
        <is>
          <t>nail</t>
        </is>
      </c>
      <c r="E7" s="10" t="inlineStr">
        <is>
          <t>Rusty Nail</t>
        </is>
      </c>
      <c r="F7" s="7" t="inlineStr">
        <is>
          <t>Every attack you cast also inflicts 1 Poison on the enemy it hits.</t>
        </is>
      </c>
      <c r="G7" s="7" t="inlineStr">
        <is>
          <t>bigheal</t>
        </is>
      </c>
      <c r="H7" s="10" t="inlineStr">
        <is>
          <t>Full Flask</t>
        </is>
      </c>
      <c r="I7" s="7" t="inlineStr">
        <is>
          <t>Heal 50% of your Max HP. Usable anywhere.</t>
        </is>
      </c>
    </row>
    <row r="8">
      <c r="A8" s="7" t="n">
        <v>6</v>
      </c>
      <c r="B8" s="9">
        <f>Settings!$B$5+Settings!$B$6*(A8-1)</f>
        <v/>
      </c>
      <c r="C8" s="7">
        <f>C7+B8</f>
        <v/>
      </c>
      <c r="D8" s="7" t="inlineStr">
        <is>
          <t>barbed</t>
        </is>
      </c>
      <c r="E8" s="10" t="inlineStr">
        <is>
          <t>Barbed Wire</t>
        </is>
      </c>
      <c r="F8" s="7" t="inlineStr">
        <is>
          <t>For every 10 Shield you gain from your words, gain 1 Thorns for the rest of the combat.</t>
        </is>
      </c>
      <c r="G8" s="7" t="inlineStr">
        <is>
          <t>panacea</t>
        </is>
      </c>
      <c r="H8" s="10" t="inlineStr">
        <is>
          <t>Panacea</t>
        </is>
      </c>
      <c r="I8" s="7" t="inlineStr">
        <is>
          <t>Remove every debuff on you: Poison, Weaken, Broken, Curse and Frustrated.</t>
        </is>
      </c>
    </row>
    <row r="9">
      <c r="A9" s="7" t="n">
        <v>7</v>
      </c>
      <c r="B9" s="9">
        <f>Settings!$B$5+Settings!$B$6*(A9-1)</f>
        <v/>
      </c>
      <c r="C9" s="7">
        <f>C8+B9</f>
        <v/>
      </c>
      <c r="D9" s="7" t="inlineStr">
        <is>
          <t>trophy</t>
        </is>
      </c>
      <c r="E9" s="10" t="inlineStr">
        <is>
          <t>Big Game Trophy</t>
        </is>
      </c>
      <c r="F9" s="7" t="inlineStr">
        <is>
          <t>Gain 1 extra Energy every turn in Elite and Boss fights.</t>
        </is>
      </c>
      <c r="G9" s="7" t="inlineStr">
        <is>
          <t>flashbang</t>
        </is>
      </c>
      <c r="H9" s="10" t="inlineStr">
        <is>
          <t>Flashbang</t>
        </is>
      </c>
      <c r="I9" s="7" t="inlineStr">
        <is>
          <t>Stun the target: it skips its next turn.</t>
        </is>
      </c>
    </row>
    <row r="10">
      <c r="A10" s="7" t="n">
        <v>8</v>
      </c>
      <c r="B10" s="9">
        <f>Settings!$B$5+Settings!$B$6*(A10-1)</f>
        <v/>
      </c>
      <c r="C10" s="7">
        <f>C9+B10</f>
        <v/>
      </c>
      <c r="D10" s="7" t="inlineStr">
        <is>
          <t>megaphone</t>
        </is>
      </c>
      <c r="E10" s="10" t="inlineStr">
        <is>
          <t>Megaphone</t>
        </is>
      </c>
      <c r="F10" s="7" t="inlineStr">
        <is>
          <t>Each [ ! ] in an attack word counts as one more attack (for Chalk Tally, Rusty Nail and similar effects).</t>
        </is>
      </c>
      <c r="G10" s="7" t="inlineStr">
        <is>
          <t>titan</t>
        </is>
      </c>
      <c r="H10" s="10" t="inlineStr">
        <is>
          <t>Titan Serum</t>
        </is>
      </c>
      <c r="I10" s="7" t="inlineStr">
        <is>
          <t>Multiply your current Might by 5.</t>
        </is>
      </c>
    </row>
    <row r="11">
      <c r="A11" s="7" t="n">
        <v>9</v>
      </c>
      <c r="B11" s="9">
        <f>Settings!$B$5+Settings!$B$6*(A11-1)</f>
        <v/>
      </c>
      <c r="C11" s="7">
        <f>C10+B11</f>
        <v/>
      </c>
      <c r="D11" s="7" t="inlineStr">
        <is>
          <t>magnet</t>
        </is>
      </c>
      <c r="E11" s="10" t="inlineStr">
        <is>
          <t>Arcade Token</t>
        </is>
      </c>
      <c r="F11" s="7" t="inlineStr">
        <is>
          <t>Every ? node becomes the Claw Machine. It only gives 2 tries, but the claw becomes a magnet that pulls in everything around it.</t>
        </is>
      </c>
      <c r="G11" s="7" t="inlineStr">
        <is>
          <t>bastion</t>
        </is>
      </c>
      <c r="H11" s="10" t="inlineStr">
        <is>
          <t>Bastion Serum</t>
        </is>
      </c>
      <c r="I11" s="7" t="inlineStr">
        <is>
          <t>Multiply your current Robust by 5.</t>
        </is>
      </c>
    </row>
    <row r="12">
      <c r="A12" s="7" t="n">
        <v>10</v>
      </c>
      <c r="B12" s="9">
        <f>Settings!$B$5+Settings!$B$6*(A12-1)</f>
        <v/>
      </c>
      <c r="C12" s="7">
        <f>C11+B12</f>
        <v/>
      </c>
      <c r="D12" s="7" t="inlineStr">
        <is>
          <t>swearjar</t>
        </is>
      </c>
      <c r="E12" s="10" t="inlineStr">
        <is>
          <t>Swear Jar</t>
        </is>
      </c>
      <c r="F12" s="7" t="inlineStr">
        <is>
          <t>Every swear word you cast gives +3 Arcana.</t>
        </is>
      </c>
      <c r="G12" s="7" t="inlineStr">
        <is>
          <t>overclock</t>
        </is>
      </c>
      <c r="H12" s="10" t="inlineStr">
        <is>
          <t>Overclock Chip</t>
        </is>
      </c>
      <c r="I12" s="7" t="inlineStr">
        <is>
          <t>Your selected weapon costs 0 Energy for the rest of this turn.</t>
        </is>
      </c>
    </row>
    <row r="13">
      <c r="A13" s="6" t="inlineStr">
        <is>
          <t>Total</t>
        </is>
      </c>
      <c r="B13" s="6">
        <f>SUM(B3:B12)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10" customWidth="1" min="4" max="4"/>
  </cols>
  <sheetData>
    <row r="1">
      <c r="A1" s="3" t="inlineStr">
        <is>
          <t>Act</t>
        </is>
      </c>
      <c r="B1" s="3" t="inlineStr">
        <is>
          <t>Normal</t>
        </is>
      </c>
      <c r="C1" s="3" t="inlineStr">
        <is>
          <t>Elite</t>
        </is>
      </c>
      <c r="D1" s="3" t="inlineStr">
        <is>
          <t>Boss</t>
        </is>
      </c>
    </row>
    <row r="2">
      <c r="A2" s="4" t="n">
        <v>1</v>
      </c>
      <c r="B2" s="11">
        <f>Settings!$B$8+Settings!$B$9*(A2-1)</f>
        <v/>
      </c>
      <c r="C2" s="11">
        <f>Settings!$B$10+Settings!$B$11*(A2-1)</f>
        <v/>
      </c>
      <c r="D2" s="11">
        <f>Settings!$B$12+Settings!$B$13*(A2-1)</f>
        <v/>
      </c>
    </row>
    <row r="3">
      <c r="A3" s="4" t="n">
        <v>2</v>
      </c>
      <c r="B3" s="11">
        <f>Settings!$B$8+Settings!$B$9*(A3-1)</f>
        <v/>
      </c>
      <c r="C3" s="11">
        <f>Settings!$B$10+Settings!$B$11*(A3-1)</f>
        <v/>
      </c>
      <c r="D3" s="11">
        <f>Settings!$B$12+Settings!$B$13*(A3-1)</f>
        <v/>
      </c>
    </row>
    <row r="4">
      <c r="A4" s="4" t="n">
        <v>3</v>
      </c>
      <c r="B4" s="11">
        <f>Settings!$B$8+Settings!$B$9*(A4-1)</f>
        <v/>
      </c>
      <c r="C4" s="11">
        <f>Settings!$B$10+Settings!$B$11*(A4-1)</f>
        <v/>
      </c>
      <c r="D4" s="11">
        <f>Settings!$B$12+Settings!$B$13*(A4-1)</f>
        <v/>
      </c>
    </row>
    <row r="5">
      <c r="A5" s="4" t="n">
        <v>4</v>
      </c>
      <c r="B5" s="11">
        <f>Settings!$B$8+Settings!$B$9*(A5-1)</f>
        <v/>
      </c>
      <c r="C5" s="11">
        <f>Settings!$B$10+Settings!$B$11*(A5-1)</f>
        <v/>
      </c>
      <c r="D5" s="11">
        <f>Settings!$B$12+Settings!$B$13*(A5-1)</f>
        <v/>
      </c>
    </row>
    <row r="6"/>
    <row r="7">
      <c r="A7" s="2" t="inlineStr">
        <is>
          <t>Act 4 has no normal or elite fights (Rest → Shop → Event → LEXICORE), only the boss row applies.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14" customWidth="1" min="3" max="3"/>
    <col width="26" customWidth="1" min="4" max="4"/>
    <col width="12" customWidth="1" min="5" max="5"/>
    <col width="14" customWidth="1" min="6" max="6"/>
  </cols>
  <sheetData>
    <row r="1">
      <c r="A1" s="6" t="inlineStr">
        <is>
          <t>How many levels does a run give? Edit the fight counts (blue) to test.</t>
        </is>
      </c>
    </row>
    <row r="2"/>
    <row r="3">
      <c r="A3" s="3" t="inlineStr">
        <is>
          <t>Act</t>
        </is>
      </c>
      <c r="B3" s="3" t="inlineStr">
        <is>
          <t>Normal fights won</t>
        </is>
      </c>
      <c r="C3" s="3" t="inlineStr">
        <is>
          <t>Elite fights won</t>
        </is>
      </c>
      <c r="D3" s="3" t="inlineStr">
        <is>
          <t>Boss won?</t>
        </is>
      </c>
      <c r="E3" s="3" t="inlineStr">
        <is>
          <t>XP this act</t>
        </is>
      </c>
      <c r="F3" s="3" t="inlineStr">
        <is>
          <t>Cumulative XP</t>
        </is>
      </c>
    </row>
    <row r="4">
      <c r="A4" s="4" t="n">
        <v>1</v>
      </c>
      <c r="B4" s="5" t="n">
        <v>3</v>
      </c>
      <c r="C4" s="5" t="n">
        <v>1</v>
      </c>
      <c r="D4" s="5" t="n">
        <v>1</v>
      </c>
      <c r="E4" s="4">
        <f>B4*'XP per Fight'!B2+C4*'XP per Fight'!C2+D4*'XP per Fight'!D2</f>
        <v/>
      </c>
      <c r="F4" s="4">
        <f>E4</f>
        <v/>
      </c>
    </row>
    <row r="5">
      <c r="A5" s="4" t="n">
        <v>2</v>
      </c>
      <c r="B5" s="5" t="n">
        <v>3</v>
      </c>
      <c r="C5" s="5" t="n">
        <v>1</v>
      </c>
      <c r="D5" s="5" t="n">
        <v>1</v>
      </c>
      <c r="E5" s="4">
        <f>B5*'XP per Fight'!B3+C5*'XP per Fight'!C3+D5*'XP per Fight'!D3</f>
        <v/>
      </c>
      <c r="F5" s="4">
        <f>F4+E5</f>
        <v/>
      </c>
    </row>
    <row r="6">
      <c r="A6" s="4" t="n">
        <v>3</v>
      </c>
      <c r="B6" s="5" t="n">
        <v>3</v>
      </c>
      <c r="C6" s="5" t="n">
        <v>1</v>
      </c>
      <c r="D6" s="5" t="n">
        <v>1</v>
      </c>
      <c r="E6" s="4">
        <f>B6*'XP per Fight'!B4+C6*'XP per Fight'!C4+D6*'XP per Fight'!D4</f>
        <v/>
      </c>
      <c r="F6" s="4">
        <f>F5+E6</f>
        <v/>
      </c>
    </row>
    <row r="7">
      <c r="A7" s="4" t="n">
        <v>4</v>
      </c>
      <c r="B7" s="5" t="n">
        <v>0</v>
      </c>
      <c r="C7" s="5" t="n">
        <v>0</v>
      </c>
      <c r="D7" s="5" t="n">
        <v>1</v>
      </c>
      <c r="E7" s="4">
        <f>B7*'XP per Fight'!B5+C7*'XP per Fight'!C5+D7*'XP per Fight'!D5</f>
        <v/>
      </c>
      <c r="F7" s="4">
        <f>F6+E7</f>
        <v/>
      </c>
    </row>
    <row r="8"/>
    <row r="9">
      <c r="A9" s="6" t="inlineStr">
        <is>
          <t>Scenario</t>
        </is>
      </c>
      <c r="B9" s="6" t="inlineStr">
        <is>
          <t>Run XP</t>
        </is>
      </c>
      <c r="C9" s="6" t="inlineStr">
        <is>
          <t>Level reached (from level 0)</t>
        </is>
      </c>
    </row>
    <row r="10">
      <c r="A10" s="4" t="inlineStr">
        <is>
          <t>Full win (all 4 acts)</t>
        </is>
      </c>
      <c r="B10" s="4">
        <f>F7</f>
        <v/>
      </c>
      <c r="C10" s="4">
        <f>MIN(Settings!$B$7,COUNTIF('Unlock Levels'!$C$3:$C$12,"&lt;="&amp;B10))</f>
        <v/>
      </c>
    </row>
    <row r="11">
      <c r="A11" s="4" t="inlineStr">
        <is>
          <t>Die in Act 1 boss</t>
        </is>
      </c>
      <c r="B11" s="4">
        <f>B4*'XP per Fight'!B2+C4*'XP per Fight'!C2</f>
        <v/>
      </c>
      <c r="C11" s="4">
        <f>MIN(Settings!$B$7,COUNTIF('Unlock Levels'!$C$3:$C$12,"&lt;="&amp;B11))</f>
        <v/>
      </c>
    </row>
    <row r="12">
      <c r="A12" s="4" t="inlineStr">
        <is>
          <t>Die in Act 2 boss</t>
        </is>
      </c>
      <c r="B12" s="4">
        <f>F4+B5*'XP per Fight'!B3+C5*'XP per Fight'!C3</f>
        <v/>
      </c>
      <c r="C12" s="4">
        <f>MIN(Settings!$B$7,COUNTIF('Unlock Levels'!$C$3:$C$12,"&lt;="&amp;B12))</f>
        <v/>
      </c>
    </row>
    <row r="13">
      <c r="A13" s="4" t="inlineStr">
        <is>
          <t>Die in Act 3 boss</t>
        </is>
      </c>
      <c r="B13" s="4">
        <f>F5+B6*'XP per Fight'!B4+C6*'XP per Fight'!C4</f>
        <v/>
      </c>
      <c r="C13" s="4">
        <f>MIN(Settings!$B$7,COUNTIF('Unlock Levels'!$C$3:$C$12,"&lt;="&amp;B13))</f>
        <v/>
      </c>
    </row>
    <row r="14"/>
    <row r="15">
      <c r="A15" s="4" t="inlineStr">
        <is>
          <t>Runs to reach max level (full wins only)</t>
        </is>
      </c>
      <c r="B15" s="4">
        <f>ROUNDUP('Unlock Levels'!B13/B10,1)</f>
        <v/>
      </c>
    </row>
    <row r="16">
      <c r="A16" s="4" t="inlineStr">
        <is>
          <t>Runs to reach max level (dying in the Act 2 boss)</t>
        </is>
      </c>
      <c r="B16" s="4">
        <f>ROUNDUP('Unlock Levels'!B13/B12,1)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7" customWidth="1" min="1" max="1"/>
    <col width="11" customWidth="1" min="2" max="2"/>
    <col width="16" customWidth="1" min="3" max="3"/>
    <col width="36" customWidth="1" min="4" max="4"/>
    <col width="8" customWidth="1" min="5" max="5"/>
    <col width="28" customWidth="1" min="6" max="6"/>
    <col width="20" customWidth="1" min="7" max="7"/>
    <col width="36" customWidth="1" min="8" max="8"/>
  </cols>
  <sheetData>
    <row r="1">
      <c r="A1" s="3" t="inlineStr">
        <is>
          <t>Order</t>
        </is>
      </c>
      <c r="B1" s="3" t="inlineStr">
        <is>
          <t>Hero id</t>
        </is>
      </c>
      <c r="C1" s="3" t="inlineStr">
        <is>
          <t>Hero</t>
        </is>
      </c>
      <c r="D1" s="3" t="inlineStr">
        <is>
          <t>Unlock condition</t>
        </is>
      </c>
      <c r="E1" s="3" t="inlineStr">
        <is>
          <t>Max HP</t>
        </is>
      </c>
      <c r="F1" s="3" t="inlineStr">
        <is>
          <t>Starting weapons</t>
        </is>
      </c>
      <c r="G1" s="3" t="inlineStr">
        <is>
          <t>Starting relic</t>
        </is>
      </c>
      <c r="H1" s="3" t="inlineStr">
        <is>
          <t>Select-screen hint (locked)</t>
        </is>
      </c>
    </row>
    <row r="2">
      <c r="A2" s="7" t="n">
        <v>1</v>
      </c>
      <c r="B2" s="7" t="inlineStr">
        <is>
          <t>scholar</t>
        </is>
      </c>
      <c r="C2" s="7" t="inlineStr">
        <is>
          <t>The Scholar</t>
        </is>
      </c>
      <c r="D2" s="7" t="inlineStr">
        <is>
          <t>Available from the start</t>
        </is>
      </c>
      <c r="E2" s="7" t="n">
        <v>70</v>
      </c>
      <c r="F2" s="7" t="inlineStr">
        <is>
          <t>Spellbook, Barrier</t>
        </is>
      </c>
      <c r="G2" s="7" t="inlineStr">
        <is>
          <t>Journal</t>
        </is>
      </c>
      <c r="H2" s="7" t="inlineStr">
        <is>
          <t>—</t>
        </is>
      </c>
    </row>
    <row r="3">
      <c r="A3" s="7" t="n">
        <v>2</v>
      </c>
      <c r="B3" s="7" t="inlineStr">
        <is>
          <t>champion</t>
        </is>
      </c>
      <c r="C3" s="7" t="inlineStr">
        <is>
          <t>The Champion</t>
        </is>
      </c>
      <c r="D3" s="7" t="inlineStr">
        <is>
          <t>Reach the Act 1 boss (enter the fight, win or lose)</t>
        </is>
      </c>
      <c r="E3" s="7" t="n">
        <v>88</v>
      </c>
      <c r="F3" s="7" t="inlineStr">
        <is>
          <t>Greatsword, Dumbbell</t>
        </is>
      </c>
      <c r="G3" s="7" t="inlineStr">
        <is>
          <t>Berserker's Blood</t>
        </is>
      </c>
      <c r="H3" s="7" t="inlineStr">
        <is>
          <t>Reach the Act 1 boss (enter the fight, win or lose)</t>
        </is>
      </c>
    </row>
    <row r="4">
      <c r="A4" s="7" t="n">
        <v>3</v>
      </c>
      <c r="B4" s="7" t="inlineStr">
        <is>
          <t>mercenary</t>
        </is>
      </c>
      <c r="C4" s="7" t="inlineStr">
        <is>
          <t>The Mercenary</t>
        </is>
      </c>
      <c r="D4" s="7" t="inlineStr">
        <is>
          <t>Reach the Act 2 boss (enter the fight, win or lose)</t>
        </is>
      </c>
      <c r="E4" s="7" t="n">
        <v>60</v>
      </c>
      <c r="F4" s="7" t="inlineStr">
        <is>
          <t>Parrying Dagger, Utility Belt</t>
        </is>
      </c>
      <c r="G4" s="7" t="inlineStr">
        <is>
          <t>Quick Gloves</t>
        </is>
      </c>
      <c r="H4" s="7" t="inlineStr">
        <is>
          <t>Reach the Act 2 boss (enter the fight, win or lose)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2" customWidth="1" min="3" max="3"/>
    <col width="28" customWidth="1" min="4" max="4"/>
    <col width="70" customWidth="1" min="5" max="5"/>
  </cols>
  <sheetData>
    <row r="1">
      <c r="A1" s="3" t="inlineStr">
        <is>
          <t>Type</t>
        </is>
      </c>
      <c r="B1" s="3" t="inlineStr">
        <is>
          <t>id</t>
        </is>
      </c>
      <c r="C1" s="3" t="inlineStr">
        <is>
          <t>Name</t>
        </is>
      </c>
      <c r="D1" s="3" t="inlineStr">
        <is>
          <t>Category</t>
        </is>
      </c>
      <c r="E1" s="3" t="inlineStr">
        <is>
          <t>Effect</t>
        </is>
      </c>
    </row>
    <row r="2">
      <c r="A2" s="7" t="inlineStr">
        <is>
          <t>Relic</t>
        </is>
      </c>
      <c r="B2" s="7" t="inlineStr">
        <is>
          <t>blood</t>
        </is>
      </c>
      <c r="C2" s="7" t="inlineStr">
        <is>
          <t>Berserker's Blood</t>
        </is>
      </c>
      <c r="D2" s="7" t="inlineStr">
        <is>
          <t>Starter (hero only)</t>
        </is>
      </c>
      <c r="E2" s="7" t="inlineStr">
        <is>
          <t>Starter relic of The Champion. Your attacks deal +1 damage for every 4 HP you are missing.</t>
        </is>
      </c>
    </row>
    <row r="3">
      <c r="A3" s="7" t="inlineStr">
        <is>
          <t>Relic</t>
        </is>
      </c>
      <c r="B3" s="7" t="inlineStr">
        <is>
          <t>journal</t>
        </is>
      </c>
      <c r="C3" s="7" t="inlineStr">
        <is>
          <t>Journal</t>
        </is>
      </c>
      <c r="D3" s="7" t="inlineStr">
        <is>
          <t>Starter (hero only)</t>
        </is>
      </c>
      <c r="E3" s="7" t="inlineStr">
        <is>
          <t>Starter relic of The Scholar. The second time you cast the same word in a combat, its output is doubled. From the third time on it scores normally.</t>
        </is>
      </c>
    </row>
    <row r="4">
      <c r="A4" s="7" t="inlineStr">
        <is>
          <t>Relic</t>
        </is>
      </c>
      <c r="B4" s="7" t="inlineStr">
        <is>
          <t>gloves</t>
        </is>
      </c>
      <c r="C4" s="7" t="inlineStr">
        <is>
          <t>Quick Gloves</t>
        </is>
      </c>
      <c r="D4" s="7" t="inlineStr">
        <is>
          <t>Starter (hero only)</t>
        </is>
      </c>
      <c r="E4" s="7" t="inlineStr">
        <is>
          <t>Starter relic of The Mercenary. After the first word you cast in each combat, draw as many tiles as it used.</t>
        </is>
      </c>
    </row>
    <row r="5">
      <c r="A5" s="7" t="inlineStr">
        <is>
          <t>Relic</t>
        </is>
      </c>
      <c r="B5" s="7" t="inlineStr">
        <is>
          <t>bird</t>
        </is>
      </c>
      <c r="C5" s="7" t="inlineStr">
        <is>
          <t>Bendy Straw</t>
        </is>
      </c>
      <c r="D5" s="7" t="inlineStr">
        <is>
          <t>Common</t>
        </is>
      </c>
      <c r="E5" s="7" t="inlineStr">
        <is>
          <t>Heal 5 HP whenever you use a consumable.</t>
        </is>
      </c>
    </row>
    <row r="6">
      <c r="A6" s="7" t="inlineStr">
        <is>
          <t>Relic</t>
        </is>
      </c>
      <c r="B6" s="7" t="inlineStr">
        <is>
          <t>potbelt</t>
        </is>
      </c>
      <c r="C6" s="7" t="inlineStr">
        <is>
          <t>Bottle Rack</t>
        </is>
      </c>
      <c r="D6" s="7" t="inlineStr">
        <is>
          <t>Common</t>
        </is>
      </c>
      <c r="E6" s="7" t="inlineStr">
        <is>
          <t>Gain 2 extra consumable slots.</t>
        </is>
      </c>
    </row>
    <row r="7">
      <c r="A7" s="7" t="inlineStr">
        <is>
          <t>Relic</t>
        </is>
      </c>
      <c r="B7" s="7" t="inlineStr">
        <is>
          <t>berry</t>
        </is>
      </c>
      <c r="C7" s="7" t="inlineStr">
        <is>
          <t>Canned Peaches</t>
        </is>
      </c>
      <c r="D7" s="7" t="inlineStr">
        <is>
          <t>Common</t>
        </is>
      </c>
      <c r="E7" s="7" t="inlineStr">
        <is>
          <t>Raise your Max HP by 7 when you pick it up.</t>
        </is>
      </c>
    </row>
    <row r="8">
      <c r="A8" s="7" t="inlineStr">
        <is>
          <t>Relic</t>
        </is>
      </c>
      <c r="B8" s="7" t="inlineStr">
        <is>
          <t>ticket</t>
        </is>
      </c>
      <c r="C8" s="7" t="inlineStr">
        <is>
          <t>Caravan Stew</t>
        </is>
      </c>
      <c r="D8" s="7" t="inlineStr">
        <is>
          <t>Common</t>
        </is>
      </c>
      <c r="E8" s="7" t="inlineStr">
        <is>
          <t>Heal 15 HP whenever you enter a shop.</t>
        </is>
      </c>
    </row>
    <row r="9">
      <c r="A9" s="7" t="inlineStr">
        <is>
          <t>Relic</t>
        </is>
      </c>
      <c r="B9" s="7" t="inlineStr">
        <is>
          <t>nib</t>
        </is>
      </c>
      <c r="C9" s="7" t="inlineStr">
        <is>
          <t>Chalk Tally</t>
        </is>
      </c>
      <c r="D9" s="7" t="inlineStr">
        <is>
          <t>Common</t>
        </is>
      </c>
      <c r="E9" s="7" t="inlineStr">
        <is>
          <t>Every 10th attack you cast deals double damage.</t>
        </is>
      </c>
    </row>
    <row r="10">
      <c r="A10" s="7" t="inlineStr">
        <is>
          <t>Relic</t>
        </is>
      </c>
      <c r="B10" s="7" t="inlineStr">
        <is>
          <t>medkit</t>
        </is>
      </c>
      <c r="C10" s="7" t="inlineStr">
        <is>
          <t>Duct Tape</t>
        </is>
      </c>
      <c r="D10" s="7" t="inlineStr">
        <is>
          <t>Common</t>
        </is>
      </c>
      <c r="E10" s="7" t="inlineStr">
        <is>
          <t>The first time you fall below 50% HP in a combat, heal 12.</t>
        </is>
      </c>
    </row>
    <row r="11">
      <c r="A11" s="7" t="inlineStr">
        <is>
          <t>Relic</t>
        </is>
      </c>
      <c r="B11" s="7" t="inlineStr">
        <is>
          <t>coupon</t>
        </is>
      </c>
      <c r="C11" s="7" t="inlineStr">
        <is>
          <t>Haggler's Badge</t>
        </is>
      </c>
      <c r="D11" s="7" t="inlineStr">
        <is>
          <t>Common</t>
        </is>
      </c>
      <c r="E11" s="7" t="inlineStr">
        <is>
          <t>Everything in the shop costs 25% less.</t>
        </is>
      </c>
    </row>
    <row r="12">
      <c r="A12" s="7" t="inlineStr">
        <is>
          <t>Relic</t>
        </is>
      </c>
      <c r="B12" s="7" t="inlineStr">
        <is>
          <t>knuckle</t>
        </is>
      </c>
      <c r="C12" s="7" t="inlineStr">
        <is>
          <t>Iron Knuckles</t>
        </is>
      </c>
      <c r="D12" s="7" t="inlineStr">
        <is>
          <t>Common</t>
        </is>
      </c>
      <c r="E12" s="7" t="inlineStr">
        <is>
          <t>Start each combat with 2 Might.</t>
        </is>
      </c>
    </row>
    <row r="13">
      <c r="A13" s="7" t="inlineStr">
        <is>
          <t>Relic</t>
        </is>
      </c>
      <c r="B13" s="7" t="inlineStr">
        <is>
          <t>idol</t>
        </is>
      </c>
      <c r="C13" s="7" t="inlineStr">
        <is>
          <t>Magpie Feather</t>
        </is>
      </c>
      <c r="D13" s="7" t="inlineStr">
        <is>
          <t>Common</t>
        </is>
      </c>
      <c r="E13" s="7" t="inlineStr">
        <is>
          <t>Enemies drop 25% more gold.</t>
        </is>
      </c>
    </row>
    <row r="14">
      <c r="A14" s="7" t="inlineStr">
        <is>
          <t>Relic</t>
        </is>
      </c>
      <c r="B14" s="7" t="inlineStr">
        <is>
          <t>shuriken</t>
        </is>
      </c>
      <c r="C14" s="7" t="inlineStr">
        <is>
          <t>Metronome</t>
        </is>
      </c>
      <c r="D14" s="7" t="inlineStr">
        <is>
          <t>Common</t>
        </is>
      </c>
      <c r="E14" s="7" t="inlineStr">
        <is>
          <t>Every 3rd word you cast in a turn gives +1 Might.</t>
        </is>
      </c>
    </row>
    <row r="15">
      <c r="A15" s="7" t="inlineStr">
        <is>
          <t>Relic</t>
        </is>
      </c>
      <c r="B15" s="7" t="inlineStr">
        <is>
          <t>monocle</t>
        </is>
      </c>
      <c r="C15" s="7" t="inlineStr">
        <is>
          <t>Monocle</t>
        </is>
      </c>
      <c r="D15" s="7" t="inlineStr">
        <is>
          <t>Common</t>
        </is>
      </c>
      <c r="E15" s="7" t="inlineStr">
        <is>
          <t>Casting a single tile (U, A!, Z!!) gets +4 Arcana.</t>
        </is>
      </c>
    </row>
    <row r="16">
      <c r="A16" s="7" t="inlineStr">
        <is>
          <t>Relic</t>
        </is>
      </c>
      <c r="B16" s="7" t="inlineStr">
        <is>
          <t>parrot</t>
        </is>
      </c>
      <c r="C16" s="7" t="inlineStr">
        <is>
          <t>Parrot</t>
        </is>
      </c>
      <c r="D16" s="7" t="inlineStr">
        <is>
          <t>Common</t>
        </is>
      </c>
      <c r="E16" s="7" t="inlineStr">
        <is>
          <t>+3 Arcana if you cast exactly the same word(s) as your previous cast.</t>
        </is>
      </c>
    </row>
    <row r="17">
      <c r="A17" s="7" t="inlineStr">
        <is>
          <t>Relic</t>
        </is>
      </c>
      <c r="B17" s="7" t="inlineStr">
        <is>
          <t>pouch</t>
        </is>
      </c>
      <c r="C17" s="7" t="inlineStr">
        <is>
          <t>Pencil Case</t>
        </is>
      </c>
      <c r="D17" s="7" t="inlineStr">
        <is>
          <t>Common</t>
        </is>
      </c>
      <c r="E17" s="7" t="inlineStr">
        <is>
          <t>On the first turn of each combat, after every word you cast, draw back up to 16 tiles.</t>
        </is>
      </c>
    </row>
    <row r="18">
      <c r="A18" s="7" t="inlineStr">
        <is>
          <t>Relic</t>
        </is>
      </c>
      <c r="B18" s="7" t="inlineStr">
        <is>
          <t>scales</t>
        </is>
      </c>
      <c r="C18" s="7" t="inlineStr">
        <is>
          <t>Potted Cactus</t>
        </is>
      </c>
      <c r="D18" s="7" t="inlineStr">
        <is>
          <t>Common</t>
        </is>
      </c>
      <c r="E18" s="7" t="inlineStr">
        <is>
          <t>Start each combat with 3 Thorns that last the whole fight.</t>
        </is>
      </c>
    </row>
    <row r="19">
      <c r="A19" s="7" t="inlineStr">
        <is>
          <t>Relic</t>
        </is>
      </c>
      <c r="B19" s="7" t="inlineStr">
        <is>
          <t>protein</t>
        </is>
      </c>
      <c r="C19" s="7" t="inlineStr">
        <is>
          <t>Protein Bar</t>
        </is>
      </c>
      <c r="D19" s="7" t="inlineStr">
        <is>
          <t>Common</t>
        </is>
      </c>
      <c r="E19" s="7" t="inlineStr">
        <is>
          <t>Every word with a double letter (LL, OO, SS…) also gives you +1 Might.</t>
        </is>
      </c>
    </row>
    <row r="20">
      <c r="A20" s="7" t="inlineStr">
        <is>
          <t>Relic</t>
        </is>
      </c>
      <c r="B20" s="7" t="inlineStr">
        <is>
          <t>opener</t>
        </is>
      </c>
      <c r="C20" s="7" t="inlineStr">
        <is>
          <t>Rubber Stamp</t>
        </is>
      </c>
      <c r="D20" s="7" t="inlineStr">
        <is>
          <t>Common</t>
        </is>
      </c>
      <c r="E20" s="7" t="inlineStr">
        <is>
          <t>Every 3rd word you cast in a turn deals 5 damage to ALL enemies.</t>
        </is>
      </c>
    </row>
    <row r="21">
      <c r="A21" s="7" t="inlineStr">
        <is>
          <t>Relic</t>
        </is>
      </c>
      <c r="B21" s="7" t="inlineStr">
        <is>
          <t>sandbag</t>
        </is>
      </c>
      <c r="C21" s="7" t="inlineStr">
        <is>
          <t>Sandbag</t>
        </is>
      </c>
      <c r="D21" s="7" t="inlineStr">
        <is>
          <t>Common</t>
        </is>
      </c>
      <c r="E21" s="7" t="inlineStr">
        <is>
          <t>Every word of 6+ letters you cast also gives you 10 Shield.</t>
        </is>
      </c>
    </row>
    <row r="22">
      <c r="A22" s="7" t="inlineStr">
        <is>
          <t>Relic</t>
        </is>
      </c>
      <c r="B22" s="7" t="inlineStr">
        <is>
          <t>anchor</t>
        </is>
      </c>
      <c r="C22" s="7" t="inlineStr">
        <is>
          <t>Scrap Plating</t>
        </is>
      </c>
      <c r="D22" s="7" t="inlineStr">
        <is>
          <t>Common</t>
        </is>
      </c>
      <c r="E22" s="7" t="inlineStr">
        <is>
          <t>Start each combat with 10 Shield.</t>
        </is>
      </c>
    </row>
    <row r="23">
      <c r="A23" s="7" t="inlineStr">
        <is>
          <t>Relic</t>
        </is>
      </c>
      <c r="B23" s="7" t="inlineStr">
        <is>
          <t>pillow</t>
        </is>
      </c>
      <c r="C23" s="7" t="inlineStr">
        <is>
          <t>Sleeping Bag</t>
        </is>
      </c>
      <c r="D23" s="7" t="inlineStr">
        <is>
          <t>Common</t>
        </is>
      </c>
      <c r="E23" s="7" t="inlineStr">
        <is>
          <t>Resting at a Rest Site heals 15 more HP.</t>
        </is>
      </c>
    </row>
    <row r="24">
      <c r="A24" s="7" t="inlineStr">
        <is>
          <t>Relic</t>
        </is>
      </c>
      <c r="B24" s="7" t="inlineStr">
        <is>
          <t>snakecharm</t>
        </is>
      </c>
      <c r="C24" s="7" t="inlineStr">
        <is>
          <t>Snake Charm</t>
        </is>
      </c>
      <c r="D24" s="7" t="inlineStr">
        <is>
          <t>Common</t>
        </is>
      </c>
      <c r="E24" s="7" t="inlineStr">
        <is>
          <t>Every word containing S or Z also inflicts 2 Poison on the target.</t>
        </is>
      </c>
    </row>
    <row r="25">
      <c r="A25" s="7" t="inlineStr">
        <is>
          <t>Relic</t>
        </is>
      </c>
      <c r="B25" s="7" t="inlineStr">
        <is>
          <t>lantern</t>
        </is>
      </c>
      <c r="C25" s="7" t="inlineStr">
        <is>
          <t>Spark Plug</t>
        </is>
      </c>
      <c r="D25" s="7" t="inlineStr">
        <is>
          <t>Common</t>
        </is>
      </c>
      <c r="E25" s="7" t="inlineStr">
        <is>
          <t>Gain 1 extra Energy on the first turn of each combat.</t>
        </is>
      </c>
    </row>
    <row r="26">
      <c r="A26" s="7" t="inlineStr">
        <is>
          <t>Relic</t>
        </is>
      </c>
      <c r="B26" s="7" t="inlineStr">
        <is>
          <t>coil</t>
        </is>
      </c>
      <c r="C26" s="7" t="inlineStr">
        <is>
          <t>Static Coil</t>
        </is>
      </c>
      <c r="D26" s="7" t="inlineStr">
        <is>
          <t>Common</t>
        </is>
      </c>
      <c r="E26" s="7" t="inlineStr">
        <is>
          <t>At the start of each of your turns, deal 3 damage to ALL enemies.</t>
        </is>
      </c>
    </row>
    <row r="27">
      <c r="A27" s="7" t="inlineStr">
        <is>
          <t>Relic</t>
        </is>
      </c>
      <c r="B27" s="7" t="inlineStr">
        <is>
          <t>thermos</t>
        </is>
      </c>
      <c r="C27" s="7" t="inlineStr">
        <is>
          <t>Thermos</t>
        </is>
      </c>
      <c r="D27" s="7" t="inlineStr">
        <is>
          <t>Common</t>
        </is>
      </c>
      <c r="E27" s="7" t="inlineStr">
        <is>
          <t>Heal 8 HP at the end of every combat.</t>
        </is>
      </c>
    </row>
    <row r="28">
      <c r="A28" s="7" t="inlineStr">
        <is>
          <t>Relic</t>
        </is>
      </c>
      <c r="B28" s="7" t="inlineStr">
        <is>
          <t>umbrella</t>
        </is>
      </c>
      <c r="C28" s="7" t="inlineStr">
        <is>
          <t>Umbrella</t>
        </is>
      </c>
      <c r="D28" s="7" t="inlineStr">
        <is>
          <t>Common</t>
        </is>
      </c>
      <c r="E28" s="7" t="inlineStr">
        <is>
          <t>Every word that starts with a vowel also gives you 8 Shield.</t>
        </is>
      </c>
    </row>
    <row r="29">
      <c r="A29" s="7" t="inlineStr">
        <is>
          <t>Relic</t>
        </is>
      </c>
      <c r="B29" s="7" t="inlineStr">
        <is>
          <t>flower</t>
        </is>
      </c>
      <c r="C29" s="7" t="inlineStr">
        <is>
          <t>Wind-up Key</t>
        </is>
      </c>
      <c r="D29" s="7" t="inlineStr">
        <is>
          <t>Common</t>
        </is>
      </c>
      <c r="E29" s="7" t="inlineStr">
        <is>
          <t>Every 3rd turn of a combat, gain 1 extra Energy.</t>
        </is>
      </c>
    </row>
    <row r="30">
      <c r="A30" s="7" t="inlineStr">
        <is>
          <t>Relic</t>
        </is>
      </c>
      <c r="B30" s="7" t="inlineStr">
        <is>
          <t>woodpecker</t>
        </is>
      </c>
      <c r="C30" s="7" t="inlineStr">
        <is>
          <t>Woodpecker Beak</t>
        </is>
      </c>
      <c r="D30" s="7" t="inlineStr">
        <is>
          <t>Common</t>
        </is>
      </c>
      <c r="E30" s="7" t="inlineStr">
        <is>
          <t>If an attack would deal an even amount of damage, it becomes a flurry instead: (damage ÷ 2) pecks of 2 damage each. Thorns, Rusty Nail and Chalk Tally still count it as one attack.</t>
        </is>
      </c>
    </row>
    <row r="31">
      <c r="A31" s="7" t="inlineStr">
        <is>
          <t>Relic</t>
        </is>
      </c>
      <c r="B31" s="7" t="inlineStr">
        <is>
          <t>actionfig</t>
        </is>
      </c>
      <c r="C31" s="7" t="inlineStr">
        <is>
          <t>Action Figure</t>
        </is>
      </c>
      <c r="D31" s="7" t="inlineStr">
        <is>
          <t>Arcana (Mult)</t>
        </is>
      </c>
      <c r="E31" s="7" t="inlineStr">
        <is>
          <t>+1.95 Arcana for every verb you cast.</t>
        </is>
      </c>
    </row>
    <row r="32">
      <c r="A32" s="7" t="inlineStr">
        <is>
          <t>Relic</t>
        </is>
      </c>
      <c r="B32" s="7" t="inlineStr">
        <is>
          <t>r17</t>
        </is>
      </c>
      <c r="C32" s="7" t="inlineStr">
        <is>
          <t>Choir Bell</t>
        </is>
      </c>
      <c r="D32" s="7" t="inlineStr">
        <is>
          <t>Arcana (Mult)</t>
        </is>
      </c>
      <c r="E32" s="7" t="inlineStr">
        <is>
          <t>+2.5 Arcana if vowels outnumber consonants.</t>
        </is>
      </c>
    </row>
    <row r="33">
      <c r="A33" s="7" t="inlineStr">
        <is>
          <t>Relic</t>
        </is>
      </c>
      <c r="B33" s="7" t="inlineStr">
        <is>
          <t>r5</t>
        </is>
      </c>
      <c r="C33" s="7" t="inlineStr">
        <is>
          <t>Consonant Coil</t>
        </is>
      </c>
      <c r="D33" s="7" t="inlineStr">
        <is>
          <t>Arcana (Mult)</t>
        </is>
      </c>
      <c r="E33" s="7" t="inlineStr">
        <is>
          <t>+1.4 Arcana per unique consonant.</t>
        </is>
      </c>
    </row>
    <row r="34">
      <c r="A34" s="7" t="inlineStr">
        <is>
          <t>Relic</t>
        </is>
      </c>
      <c r="B34" s="7" t="inlineStr">
        <is>
          <t>lens</t>
        </is>
      </c>
      <c r="C34" s="7" t="inlineStr">
        <is>
          <t>Cracked Lens</t>
        </is>
      </c>
      <c r="D34" s="7" t="inlineStr">
        <is>
          <t>Arcana (Mult)</t>
        </is>
      </c>
      <c r="E34" s="7" t="inlineStr">
        <is>
          <t>+1.7 Arcana for every debuffed tile in the word (Slimy, Poisoned, Cursed…). More debuffs, more Arcana.</t>
        </is>
      </c>
    </row>
    <row r="35">
      <c r="A35" s="7" t="inlineStr">
        <is>
          <t>Relic</t>
        </is>
      </c>
      <c r="B35" s="7" t="inlineStr">
        <is>
          <t>r14</t>
        </is>
      </c>
      <c r="C35" s="7" t="inlineStr">
        <is>
          <t>Dawn Glyph</t>
        </is>
      </c>
      <c r="D35" s="7" t="inlineStr">
        <is>
          <t>Arcana (Mult)</t>
        </is>
      </c>
      <c r="E35" s="7" t="inlineStr">
        <is>
          <t>+1.7 Arcana if word starts with A–F.</t>
        </is>
      </c>
    </row>
    <row r="36">
      <c r="A36" s="7" t="inlineStr">
        <is>
          <t>Relic</t>
        </is>
      </c>
      <c r="B36" s="7" t="inlineStr">
        <is>
          <t>r15</t>
        </is>
      </c>
      <c r="C36" s="7" t="inlineStr">
        <is>
          <t>Dusk Glyph</t>
        </is>
      </c>
      <c r="D36" s="7" t="inlineStr">
        <is>
          <t>Arcana (Mult)</t>
        </is>
      </c>
      <c r="E36" s="7" t="inlineStr">
        <is>
          <t>+1.7 Arcana if word ends with T–Z.</t>
        </is>
      </c>
    </row>
    <row r="37">
      <c r="A37" s="7" t="inlineStr">
        <is>
          <t>Relic</t>
        </is>
      </c>
      <c r="B37" s="7" t="inlineStr">
        <is>
          <t>fieldguide</t>
        </is>
      </c>
      <c r="C37" s="7" t="inlineStr">
        <is>
          <t>Field Guide</t>
        </is>
      </c>
      <c r="D37" s="7" t="inlineStr">
        <is>
          <t>Arcana (Mult)</t>
        </is>
      </c>
      <c r="E37" s="7" t="inlineStr">
        <is>
          <t>+2 Arcana for every word that is an animal (CAT, WOLVES, OCTOPUS…).</t>
        </is>
      </c>
    </row>
    <row r="38">
      <c r="A38" s="7" t="inlineStr">
        <is>
          <t>Relic</t>
        </is>
      </c>
      <c r="B38" s="7" t="inlineStr">
        <is>
          <t>r13</t>
        </is>
      </c>
      <c r="C38" s="7" t="inlineStr">
        <is>
          <t>Heart Vowel</t>
        </is>
      </c>
      <c r="D38" s="7" t="inlineStr">
        <is>
          <t>Arcana (Mult)</t>
        </is>
      </c>
      <c r="E38" s="7" t="inlineStr">
        <is>
          <t>+1.95 Arcana if the exact middle letter is a vowel.</t>
        </is>
      </c>
    </row>
    <row r="39">
      <c r="A39" s="7" t="inlineStr">
        <is>
          <t>Relic</t>
        </is>
      </c>
      <c r="B39" s="7" t="inlineStr">
        <is>
          <t>r9</t>
        </is>
      </c>
      <c r="C39" s="7" t="inlineStr">
        <is>
          <t>Heavy Ink</t>
        </is>
      </c>
      <c r="D39" s="7" t="inlineStr">
        <is>
          <t>Arcana (Mult)</t>
        </is>
      </c>
      <c r="E39" s="7" t="inlineStr">
        <is>
          <t>+1.6 Arcana per played tile with Spell Power ≥ 5.</t>
        </is>
      </c>
    </row>
    <row r="40">
      <c r="A40" s="7" t="inlineStr">
        <is>
          <t>Relic</t>
        </is>
      </c>
      <c r="B40" s="7" t="inlineStr">
        <is>
          <t>jobboard</t>
        </is>
      </c>
      <c r="C40" s="7" t="inlineStr">
        <is>
          <t>Job Board</t>
        </is>
      </c>
      <c r="D40" s="7" t="inlineStr">
        <is>
          <t>Arcana (Mult)</t>
        </is>
      </c>
      <c r="E40" s="7" t="inlineStr">
        <is>
          <t>+2 Arcana for every word that is a job (BAKER, PILOTS, WIZARD…).</t>
        </is>
      </c>
    </row>
    <row r="41">
      <c r="A41" s="7" t="inlineStr">
        <is>
          <t>Relic</t>
        </is>
      </c>
      <c r="B41" s="7" t="inlineStr">
        <is>
          <t>r12</t>
        </is>
      </c>
      <c r="C41" s="7" t="inlineStr">
        <is>
          <t>Ledger Stone</t>
        </is>
      </c>
      <c r="D41" s="7" t="inlineStr">
        <is>
          <t>Arcana (Mult)</t>
        </is>
      </c>
      <c r="E41" s="7" t="inlineStr">
        <is>
          <t>+1.95 Arcana if total base Spell Power ≥ 15.</t>
        </is>
      </c>
    </row>
    <row r="42">
      <c r="A42" s="7" t="inlineStr">
        <is>
          <t>Relic</t>
        </is>
      </c>
      <c r="B42" s="7" t="inlineStr">
        <is>
          <t>r7</t>
        </is>
      </c>
      <c r="C42" s="7" t="inlineStr">
        <is>
          <t>Lone Wolf Seal</t>
        </is>
      </c>
      <c r="D42" s="7" t="inlineStr">
        <is>
          <t>Arcana (Mult)</t>
        </is>
      </c>
      <c r="E42" s="7" t="inlineStr">
        <is>
          <t>+1.7 Arcana if no letter repeats.</t>
        </is>
      </c>
    </row>
    <row r="43">
      <c r="A43" s="7" t="inlineStr">
        <is>
          <t>Relic</t>
        </is>
      </c>
      <c r="B43" s="7" t="inlineStr">
        <is>
          <t>r11</t>
        </is>
      </c>
      <c r="C43" s="7" t="inlineStr">
        <is>
          <t>Long Scroll</t>
        </is>
      </c>
      <c r="D43" s="7" t="inlineStr">
        <is>
          <t>Arcana (Mult)</t>
        </is>
      </c>
      <c r="E43" s="7" t="inlineStr">
        <is>
          <t>+3 Arcana if word is 7+ letters.</t>
        </is>
      </c>
    </row>
    <row r="44">
      <c r="A44" s="7" t="inlineStr">
        <is>
          <t>Relic</t>
        </is>
      </c>
      <c r="B44" s="7" t="inlineStr">
        <is>
          <t>r6</t>
        </is>
      </c>
      <c r="C44" s="7" t="inlineStr">
        <is>
          <t>Mirror Shard</t>
        </is>
      </c>
      <c r="D44" s="7" t="inlineStr">
        <is>
          <t>Arcana (Mult)</t>
        </is>
      </c>
      <c r="E44" s="7" t="inlineStr">
        <is>
          <t>+2 Arcana per pair of adjacent identical letters.</t>
        </is>
      </c>
    </row>
    <row r="45">
      <c r="A45" s="7" t="inlineStr">
        <is>
          <t>Relic</t>
        </is>
      </c>
      <c r="B45" s="7" t="inlineStr">
        <is>
          <t>moodring</t>
        </is>
      </c>
      <c r="C45" s="7" t="inlineStr">
        <is>
          <t>Mood Ring</t>
        </is>
      </c>
      <c r="D45" s="7" t="inlineStr">
        <is>
          <t>Arcana (Mult)</t>
        </is>
      </c>
      <c r="E45" s="7" t="inlineStr">
        <is>
          <t>+2 Arcana for every adjective you cast.</t>
        </is>
      </c>
    </row>
    <row r="46">
      <c r="A46" s="7" t="inlineStr">
        <is>
          <t>Relic</t>
        </is>
      </c>
      <c r="B46" s="7" t="inlineStr">
        <is>
          <t>nametag</t>
        </is>
      </c>
      <c r="C46" s="7" t="inlineStr">
        <is>
          <t>Name Tag</t>
        </is>
      </c>
      <c r="D46" s="7" t="inlineStr">
        <is>
          <t>Arcana (Mult)</t>
        </is>
      </c>
      <c r="E46" s="7" t="inlineStr">
        <is>
          <t>+1.7 Arcana for every noun you cast.</t>
        </is>
      </c>
    </row>
    <row r="47">
      <c r="A47" s="7" t="inlineStr">
        <is>
          <t>Relic</t>
        </is>
      </c>
      <c r="B47" s="7" t="inlineStr">
        <is>
          <t>r2</t>
        </is>
      </c>
      <c r="C47" s="7" t="inlineStr">
        <is>
          <t>Odd Fang</t>
        </is>
      </c>
      <c r="D47" s="7" t="inlineStr">
        <is>
          <t>Arcana (Mult)</t>
        </is>
      </c>
      <c r="E47" s="7" t="inlineStr">
        <is>
          <t>+1.7 Arcana if word length is odd.</t>
        </is>
      </c>
    </row>
    <row r="48">
      <c r="A48" s="7" t="inlineStr">
        <is>
          <t>Relic</t>
        </is>
      </c>
      <c r="B48" s="7" t="inlineStr">
        <is>
          <t>r16</t>
        </is>
      </c>
      <c r="C48" s="7" t="inlineStr">
        <is>
          <t>Open Mouth</t>
        </is>
      </c>
      <c r="D48" s="7" t="inlineStr">
        <is>
          <t>Arcana (Mult)</t>
        </is>
      </c>
      <c r="E48" s="7" t="inlineStr">
        <is>
          <t>+2.5 Arcana if word starts and ends with vowels.</t>
        </is>
      </c>
    </row>
    <row r="49">
      <c r="A49" s="7" t="inlineStr">
        <is>
          <t>Relic</t>
        </is>
      </c>
      <c r="B49" s="7" t="inlineStr">
        <is>
          <t>r3</t>
        </is>
      </c>
      <c r="C49" s="7" t="inlineStr">
        <is>
          <t>Ouroboros Loop</t>
        </is>
      </c>
      <c r="D49" s="7" t="inlineStr">
        <is>
          <t>Arcana (Mult)</t>
        </is>
      </c>
      <c r="E49" s="7" t="inlineStr">
        <is>
          <t>+2.5 Arcana if first letter matches last letter.</t>
        </is>
      </c>
    </row>
    <row r="50">
      <c r="A50" s="7" t="inlineStr">
        <is>
          <t>Relic</t>
        </is>
      </c>
      <c r="B50" s="7" t="inlineStr">
        <is>
          <t>paintchart</t>
        </is>
      </c>
      <c r="C50" s="7" t="inlineStr">
        <is>
          <t>Paint Chart</t>
        </is>
      </c>
      <c r="D50" s="7" t="inlineStr">
        <is>
          <t>Arcana (Mult)</t>
        </is>
      </c>
      <c r="E50" s="7" t="inlineStr">
        <is>
          <t>+2.5 Arcana for every word that is a color (RED, TEAL, CRIMSON…).</t>
        </is>
      </c>
    </row>
    <row r="51">
      <c r="A51" s="7" t="inlineStr">
        <is>
          <t>Relic</t>
        </is>
      </c>
      <c r="B51" s="7" t="inlineStr">
        <is>
          <t>r10</t>
        </is>
      </c>
      <c r="C51" s="7" t="inlineStr">
        <is>
          <t>Pebble Charm</t>
        </is>
      </c>
      <c r="D51" s="7" t="inlineStr">
        <is>
          <t>Arcana (Mult)</t>
        </is>
      </c>
      <c r="E51" s="7" t="inlineStr">
        <is>
          <t>+2 Arcana if ALL played tiles have Spell Power ≤ 4.</t>
        </is>
      </c>
    </row>
    <row r="52">
      <c r="A52" s="7" t="inlineStr">
        <is>
          <t>Relic</t>
        </is>
      </c>
      <c r="B52" s="7" t="inlineStr">
        <is>
          <t>r8</t>
        </is>
      </c>
      <c r="C52" s="7" t="inlineStr">
        <is>
          <t>Triad Totem</t>
        </is>
      </c>
      <c r="D52" s="7" t="inlineStr">
        <is>
          <t>Arcana (Mult)</t>
        </is>
      </c>
      <c r="E52" s="7" t="inlineStr">
        <is>
          <t>+3.5 Arcana if one letter appears 3+ times.</t>
        </is>
      </c>
    </row>
    <row r="53">
      <c r="A53" s="7" t="inlineStr">
        <is>
          <t>Relic</t>
        </is>
      </c>
      <c r="B53" s="7" t="inlineStr">
        <is>
          <t>r1</t>
        </is>
      </c>
      <c r="C53" s="7" t="inlineStr">
        <is>
          <t>Twin Moons</t>
        </is>
      </c>
      <c r="D53" s="7" t="inlineStr">
        <is>
          <t>Arcana (Mult)</t>
        </is>
      </c>
      <c r="E53" s="7" t="inlineStr">
        <is>
          <t>+1.7 Arcana if word length is even.</t>
        </is>
      </c>
    </row>
    <row r="54">
      <c r="A54" s="7" t="inlineStr">
        <is>
          <t>Relic</t>
        </is>
      </c>
      <c r="B54" s="7" t="inlineStr">
        <is>
          <t>r4</t>
        </is>
      </c>
      <c r="C54" s="7" t="inlineStr">
        <is>
          <t>Vowel Prism</t>
        </is>
      </c>
      <c r="D54" s="7" t="inlineStr">
        <is>
          <t>Arcana (Mult)</t>
        </is>
      </c>
      <c r="E54" s="7" t="inlineStr">
        <is>
          <t>+1.45 Arcana per unique vowel.</t>
        </is>
      </c>
    </row>
    <row r="55">
      <c r="A55" s="7" t="inlineStr">
        <is>
          <t>Relic</t>
        </is>
      </c>
      <c r="B55" s="7" t="inlineStr">
        <is>
          <t>comma</t>
        </is>
      </c>
      <c r="C55" s="7" t="inlineStr">
        <is>
          <t>Hinge Pin</t>
        </is>
      </c>
      <c r="D55" s="7" t="inlineStr">
        <is>
          <t>Tile grant</t>
        </is>
      </c>
      <c r="E55" s="7" t="inlineStr">
        <is>
          <t>Adds a [ , ] tile. Place it between two words to cast both at once (BIG,CAT).</t>
        </is>
      </c>
    </row>
    <row r="56">
      <c r="A56" s="7" t="inlineStr">
        <is>
          <t>Relic</t>
        </is>
      </c>
      <c r="B56" s="7" t="inlineStr">
        <is>
          <t>wild</t>
        </is>
      </c>
      <c r="C56" s="7" t="inlineStr">
        <is>
          <t>Jester Rune</t>
        </is>
      </c>
      <c r="D56" s="7" t="inlineStr">
        <is>
          <t>Tile grant</t>
        </is>
      </c>
      <c r="E56" s="7" t="inlineStr">
        <is>
          <t>Adds a [ ? ] Wildcard tile to your deck. It becomes the best-scoring letter that makes a word.</t>
        </is>
      </c>
    </row>
    <row r="57">
      <c r="A57" s="7" t="inlineStr">
        <is>
          <t>Relic</t>
        </is>
      </c>
      <c r="B57" s="7" t="inlineStr">
        <is>
          <t>bang</t>
        </is>
      </c>
      <c r="C57" s="7" t="inlineStr">
        <is>
          <t>War Horn</t>
        </is>
      </c>
      <c r="D57" s="7" t="inlineStr">
        <is>
          <t>Tile grant</t>
        </is>
      </c>
      <c r="E57" s="7" t="inlineStr">
        <is>
          <t>Adds two [ ! ] tiles. Put them at the end of a word: +2, +4, +6, +10… Spell Power per consecutive !.</t>
        </is>
      </c>
    </row>
    <row r="58">
      <c r="A58" s="7" t="inlineStr">
        <is>
          <t>Relic</t>
        </is>
      </c>
      <c r="B58" s="7" t="inlineStr">
        <is>
          <t>sozu</t>
        </is>
      </c>
      <c r="C58" s="7" t="inlineStr">
        <is>
          <t>Cracked Flask</t>
        </is>
      </c>
      <c r="D58" s="7" t="inlineStr">
        <is>
          <t>Boss relic (after Act 1-3 boss)</t>
        </is>
      </c>
      <c r="E58" s="7" t="inlineStr">
        <is>
          <t>Boss relic. Gain 1 extra Energy every turn. Using a consumable costs you 10 HP.</t>
        </is>
      </c>
    </row>
    <row r="59">
      <c r="A59" s="7" t="inlineStr">
        <is>
          <t>Relic</t>
        </is>
      </c>
      <c r="B59" s="7" t="inlineStr">
        <is>
          <t>crown</t>
        </is>
      </c>
      <c r="C59" s="7" t="inlineStr">
        <is>
          <t>Dry Palette</t>
        </is>
      </c>
      <c r="D59" s="7" t="inlineStr">
        <is>
          <t>Boss relic (after Act 1-3 boss)</t>
        </is>
      </c>
      <c r="E59" s="7" t="inlineStr">
        <is>
          <t>Boss relic. Gain 1 extra Energy every turn. Tile rewards offer only 1 tile.</t>
        </is>
      </c>
    </row>
    <row r="60">
      <c r="A60" s="7" t="inlineStr">
        <is>
          <t>Relic</t>
        </is>
      </c>
      <c r="B60" s="7" t="inlineStr">
        <is>
          <t>satchel</t>
        </is>
      </c>
      <c r="C60" s="7" t="inlineStr">
        <is>
          <t>Hoarder's Satchel</t>
        </is>
      </c>
      <c r="D60" s="7" t="inlineStr">
        <is>
          <t>Boss relic (after Act 1-3 boss)</t>
        </is>
      </c>
      <c r="E60" s="7" t="inlineStr">
        <is>
          <t>Boss relic. Unused tiles stay in your hand at the end of your turn. You draw back up to 16.</t>
        </is>
      </c>
    </row>
    <row r="61">
      <c r="A61" s="7" t="inlineStr">
        <is>
          <t>Relic</t>
        </is>
      </c>
      <c r="B61" s="7" t="inlineStr">
        <is>
          <t>ecto</t>
        </is>
      </c>
      <c r="C61" s="7" t="inlineStr">
        <is>
          <t>Hollow Coin</t>
        </is>
      </c>
      <c r="D61" s="7" t="inlineStr">
        <is>
          <t>Boss relic (after Act 1-3 boss)</t>
        </is>
      </c>
      <c r="E61" s="7" t="inlineStr">
        <is>
          <t>Boss relic. Gain 1 extra Energy every turn. Enemies no longer drop gold.</t>
        </is>
      </c>
    </row>
    <row r="62">
      <c r="A62" s="7" t="inlineStr">
        <is>
          <t>Relic</t>
        </is>
      </c>
      <c r="B62" s="7" t="inlineStr">
        <is>
          <t>dripper</t>
        </is>
      </c>
      <c r="C62" s="7" t="inlineStr">
        <is>
          <t>Insomnia Lamp</t>
        </is>
      </c>
      <c r="D62" s="7" t="inlineStr">
        <is>
          <t>Boss relic (after Act 1-3 boss)</t>
        </is>
      </c>
      <c r="E62" s="7" t="inlineStr">
        <is>
          <t>Boss relic. Gain 1 extra Energy every turn. Resting at a Rest Site heals only 15% of your Max HP (instead of 30%).</t>
        </is>
      </c>
    </row>
    <row r="63">
      <c r="A63" s="7" t="inlineStr">
        <is>
          <t>Relic</t>
        </is>
      </c>
      <c r="B63" s="7" t="inlineStr">
        <is>
          <t>philo</t>
        </is>
      </c>
      <c r="C63" s="7" t="inlineStr">
        <is>
          <t>Rival's Banner</t>
        </is>
      </c>
      <c r="D63" s="7" t="inlineStr">
        <is>
          <t>Boss relic (after Act 1-3 boss)</t>
        </is>
      </c>
      <c r="E63" s="7" t="inlineStr">
        <is>
          <t>Boss relic. Gain 1 extra Energy every turn. You start every combat with 1 Broken.</t>
        </is>
      </c>
    </row>
    <row r="64">
      <c r="A64" s="12" t="inlineStr">
        <is>
          <t>Consumable</t>
        </is>
      </c>
      <c r="B64" s="12" t="inlineStr">
        <is>
          <t>fruit</t>
        </is>
      </c>
      <c r="C64" s="12" t="inlineStr">
        <is>
          <t>Ancient Fruit</t>
        </is>
      </c>
      <c r="D64" s="12" t="inlineStr">
        <is>
          <t>Any time</t>
        </is>
      </c>
      <c r="E64" s="12" t="inlineStr">
        <is>
          <t>Raise your Max HP by 5 and heal 5. Usable anywhere.</t>
        </is>
      </c>
    </row>
    <row r="65">
      <c r="A65" s="12" t="inlineStr">
        <is>
          <t>Consumable</t>
        </is>
      </c>
      <c r="B65" s="12" t="inlineStr">
        <is>
          <t>shout</t>
        </is>
      </c>
      <c r="C65" s="12" t="inlineStr">
        <is>
          <t>Battle Cry</t>
        </is>
      </c>
      <c r="D65" s="12" t="inlineStr">
        <is>
          <t>Combat</t>
        </is>
      </c>
      <c r="E65" s="12" t="inlineStr">
        <is>
          <t>Add 5 Fragile [ ! ] tiles to your hand (or your discard pile if your hand is full).</t>
        </is>
      </c>
    </row>
    <row r="66">
      <c r="A66" s="12" t="inlineStr">
        <is>
          <t>Consumable</t>
        </is>
      </c>
      <c r="B66" s="12" t="inlineStr">
        <is>
          <t>bomb</t>
        </is>
      </c>
      <c r="C66" s="12" t="inlineStr">
        <is>
          <t>Blast Jar</t>
        </is>
      </c>
      <c r="D66" s="12" t="inlineStr">
        <is>
          <t>Combat</t>
        </is>
      </c>
      <c r="E66" s="12" t="inlineStr">
        <is>
          <t>Deal 12 damage to ALL enemies (+6 per Act after the first).</t>
        </is>
      </c>
    </row>
    <row r="67">
      <c r="A67" s="12" t="inlineStr">
        <is>
          <t>Consumable</t>
        </is>
      </c>
      <c r="B67" s="12" t="inlineStr">
        <is>
          <t>clarity</t>
        </is>
      </c>
      <c r="C67" s="12" t="inlineStr">
        <is>
          <t>Clarity Draught</t>
        </is>
      </c>
      <c r="D67" s="12" t="inlineStr">
        <is>
          <t>Combat</t>
        </is>
      </c>
      <c r="E67" s="12" t="inlineStr">
        <is>
          <t>Every tile in your hand becomes Level 2 for this combat.</t>
        </is>
      </c>
    </row>
    <row r="68">
      <c r="A68" s="12" t="inlineStr">
        <is>
          <t>Consumable</t>
        </is>
      </c>
      <c r="B68" s="12" t="inlineStr">
        <is>
          <t>echo</t>
        </is>
      </c>
      <c r="C68" s="12" t="inlineStr">
        <is>
          <t>Echo Draught</t>
        </is>
      </c>
      <c r="D68" s="12" t="inlineStr">
        <is>
          <t>Combat</t>
        </is>
      </c>
      <c r="E68" s="12" t="inlineStr">
        <is>
          <t>The next word you cast this turn has its output doubled.</t>
        </is>
      </c>
    </row>
    <row r="69">
      <c r="A69" s="12" t="inlineStr">
        <is>
          <t>Consumable</t>
        </is>
      </c>
      <c r="B69" s="12" t="inlineStr">
        <is>
          <t>tonic</t>
        </is>
      </c>
      <c r="C69" s="12" t="inlineStr">
        <is>
          <t>Energy Tonic</t>
        </is>
      </c>
      <c r="D69" s="12" t="inlineStr">
        <is>
          <t>Combat</t>
        </is>
      </c>
      <c r="E69" s="12" t="inlineStr">
        <is>
          <t>Gain 2 Energy.</t>
        </is>
      </c>
    </row>
    <row r="70">
      <c r="A70" s="12" t="inlineStr">
        <is>
          <t>Consumable</t>
        </is>
      </c>
      <c r="B70" s="12" t="inlineStr">
        <is>
          <t>pages</t>
        </is>
      </c>
      <c r="C70" s="12" t="inlineStr">
        <is>
          <t>Fresh Pages</t>
        </is>
      </c>
      <c r="D70" s="12" t="inlineStr">
        <is>
          <t>Combat</t>
        </is>
      </c>
      <c r="E70" s="12" t="inlineStr">
        <is>
          <t>Discard your whole hand and draw a fresh 16 tiles.</t>
        </is>
      </c>
    </row>
    <row r="71">
      <c r="A71" s="12" t="inlineStr">
        <is>
          <t>Consumable</t>
        </is>
      </c>
      <c r="B71" s="12" t="inlineStr">
        <is>
          <t>heal</t>
        </is>
      </c>
      <c r="C71" s="12" t="inlineStr">
        <is>
          <t>Healing Draught</t>
        </is>
      </c>
      <c r="D71" s="12" t="inlineStr">
        <is>
          <t>Any time</t>
        </is>
      </c>
      <c r="E71" s="12" t="inlineStr">
        <is>
          <t>Heal 20 HP (+10 per Act after the first). Usable anywhere.</t>
        </is>
      </c>
    </row>
    <row r="72">
      <c r="A72" s="12" t="inlineStr">
        <is>
          <t>Consumable</t>
        </is>
      </c>
      <c r="B72" s="12" t="inlineStr">
        <is>
          <t>ink</t>
        </is>
      </c>
      <c r="C72" s="12" t="inlineStr">
        <is>
          <t>Ink of Plenty</t>
        </is>
      </c>
      <c r="D72" s="12" t="inlineStr">
        <is>
          <t>Combat</t>
        </is>
      </c>
      <c r="E72" s="12" t="inlineStr">
        <is>
          <t>Draw 5 tiles.</t>
        </is>
      </c>
    </row>
    <row r="73">
      <c r="A73" s="12" t="inlineStr">
        <is>
          <t>Consumable</t>
        </is>
      </c>
      <c r="B73" s="12" t="inlineStr">
        <is>
          <t>iron</t>
        </is>
      </c>
      <c r="C73" s="12" t="inlineStr">
        <is>
          <t>Iron Tonic</t>
        </is>
      </c>
      <c r="D73" s="12" t="inlineStr">
        <is>
          <t>Combat</t>
        </is>
      </c>
      <c r="E73" s="12" t="inlineStr">
        <is>
          <t>Gain 15 Shield (×Act number).</t>
        </is>
      </c>
    </row>
    <row r="74">
      <c r="A74" s="12" t="inlineStr">
        <is>
          <t>Consumable</t>
        </is>
      </c>
      <c r="B74" s="12" t="inlineStr">
        <is>
          <t>jester</t>
        </is>
      </c>
      <c r="C74" s="12" t="inlineStr">
        <is>
          <t>Jester's Brew</t>
        </is>
      </c>
      <c r="D74" s="12" t="inlineStr">
        <is>
          <t>Combat</t>
        </is>
      </c>
      <c r="E74" s="12" t="inlineStr">
        <is>
          <t>Add 2 Fragile [ ? ] Wildcard tiles to your hand (or your discard pile if your hand is full).</t>
        </is>
      </c>
    </row>
    <row r="75">
      <c r="A75" s="12" t="inlineStr">
        <is>
          <t>Consumable</t>
        </is>
      </c>
      <c r="B75" s="12" t="inlineStr">
        <is>
          <t>might</t>
        </is>
      </c>
      <c r="C75" s="12" t="inlineStr">
        <is>
          <t>Mighty Brew</t>
        </is>
      </c>
      <c r="D75" s="12" t="inlineStr">
        <is>
          <t>Combat</t>
        </is>
      </c>
      <c r="E75" s="12" t="inlineStr">
        <is>
          <t>Gain 3 Might (+2 per Act after the first).</t>
        </is>
      </c>
    </row>
    <row r="76">
      <c r="A76" s="12" t="inlineStr">
        <is>
          <t>Consumable</t>
        </is>
      </c>
      <c r="B76" s="12" t="inlineStr">
        <is>
          <t>phoenix</t>
        </is>
      </c>
      <c r="C76" s="12" t="inlineStr">
        <is>
          <t>Phoenix Feather</t>
        </is>
      </c>
      <c r="D76" s="12" t="inlineStr">
        <is>
          <t>Passive</t>
        </is>
      </c>
      <c r="E76" s="12" t="inlineStr">
        <is>
          <t>Keep it in a slot. When you would die, it burns and brings you back with 30% HP. It can't be drunk.</t>
        </is>
      </c>
    </row>
    <row r="77">
      <c r="A77" s="12" t="inlineStr">
        <is>
          <t>Consumable</t>
        </is>
      </c>
      <c r="B77" s="12" t="inlineStr">
        <is>
          <t>purge</t>
        </is>
      </c>
      <c r="C77" s="12" t="inlineStr">
        <is>
          <t>Purge Salts</t>
        </is>
      </c>
      <c r="D77" s="12" t="inlineStr">
        <is>
          <t>Combat</t>
        </is>
      </c>
      <c r="E77" s="12" t="inlineStr">
        <is>
          <t>Cleanse every debuff from the tiles in your hand.</t>
        </is>
      </c>
    </row>
    <row r="78">
      <c r="A78" s="12" t="inlineStr">
        <is>
          <t>Consumable</t>
        </is>
      </c>
      <c r="B78" s="12" t="inlineStr">
        <is>
          <t>brittle</t>
        </is>
      </c>
      <c r="C78" s="12" t="inlineStr">
        <is>
          <t>Shatter Draught</t>
        </is>
      </c>
      <c r="D78" s="12" t="inlineStr">
        <is>
          <t>Combat</t>
        </is>
      </c>
      <c r="E78" s="12" t="inlineStr">
        <is>
          <t>Inflict Broken 3 on ALL enemies (+50% damage taken).</t>
        </is>
      </c>
    </row>
    <row r="79">
      <c r="A79" s="12" t="inlineStr">
        <is>
          <t>Consumable</t>
        </is>
      </c>
      <c r="B79" s="12" t="inlineStr">
        <is>
          <t>temper</t>
        </is>
      </c>
      <c r="C79" s="12" t="inlineStr">
        <is>
          <t>Tempering Oil</t>
        </is>
      </c>
      <c r="D79" s="12" t="inlineStr">
        <is>
          <t>Combat</t>
        </is>
      </c>
      <c r="E79" s="12" t="inlineStr">
        <is>
          <t>Fortify up to 4 tiles in your hand for this combat (they stay in your hand and can't be debuffed). Also cleanses them.</t>
        </is>
      </c>
    </row>
    <row r="80">
      <c r="A80" s="12" t="inlineStr">
        <is>
          <t>Consumable</t>
        </is>
      </c>
      <c r="B80" s="12" t="inlineStr">
        <is>
          <t>smoke</t>
        </is>
      </c>
      <c r="C80" s="12" t="inlineStr">
        <is>
          <t>Vanishing Powder</t>
        </is>
      </c>
      <c r="D80" s="12" t="inlineStr">
        <is>
          <t>Combat</t>
        </is>
      </c>
      <c r="E80" s="12" t="inlineStr">
        <is>
          <t>Escape a normal or Elite fight. You get no reward. Doesn't work on bosses.</t>
        </is>
      </c>
    </row>
    <row r="81">
      <c r="A81" s="12" t="inlineStr">
        <is>
          <t>Consumable</t>
        </is>
      </c>
      <c r="B81" s="12" t="inlineStr">
        <is>
          <t>venom</t>
        </is>
      </c>
      <c r="C81" s="12" t="inlineStr">
        <is>
          <t>Venom Vial</t>
        </is>
      </c>
      <c r="D81" s="12" t="inlineStr">
        <is>
          <t>Combat</t>
        </is>
      </c>
      <c r="E81" s="12" t="inlineStr">
        <is>
          <t>Inflict 8 Poison on the target (+4 per Act after the first).</t>
        </is>
      </c>
    </row>
    <row r="82">
      <c r="A82" s="12" t="inlineStr">
        <is>
          <t>Consumable</t>
        </is>
      </c>
      <c r="B82" s="12" t="inlineStr">
        <is>
          <t>fire</t>
        </is>
      </c>
      <c r="C82" s="12" t="inlineStr">
        <is>
          <t>Volatile Flask</t>
        </is>
      </c>
      <c r="D82" s="12" t="inlineStr">
        <is>
          <t>Combat</t>
        </is>
      </c>
      <c r="E82" s="12" t="inlineStr">
        <is>
          <t>Deal 20 damage to the target (×Act number).</t>
        </is>
      </c>
    </row>
    <row r="83"/>
    <row r="84">
      <c r="A84" s="6">
        <f>"Relics: "&amp;COUNTIF(A2:A82,"Relic")&amp;" · Consumables: "&amp;COUNTIF(A2:A82,"Consumable")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2026-10-17T16:47:35Z</dcterms:created>
  <dcterms:modified xmlns:dcterms="http://purl.org/dc/terms/" xmlns:xsi="http://www.w3.org/2001/XMLSchema-instance" xsi:type="dcterms:W3CDTF">2026-10-17T16:47:35Z</dcterms:modified>
</cp:coreProperties>
</file>