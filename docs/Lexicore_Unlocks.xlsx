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ttings" sheetId="1" state="visible" r:id="rId3"/>
    <sheet name="Unlock Levels" sheetId="2" state="visible" r:id="rId4"/>
    <sheet name="XP per Fight" sheetId="3" state="visible" r:id="rId5"/>
    <sheet name="Run Estimate" sheetId="4" state="visible" r:id="rId6"/>
    <sheet name="Heroes" sheetId="5" state="visible" r:id="rId7"/>
    <sheet name="Always Availabl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2" authorId="0">
      <text>
        <r>
          <rPr>
            <sz val="10"/>
            <rFont val="Arial"/>
            <family val="2"/>
          </rPr>
          <t xml:space="preserve">Swear Jar is always the last unlock (level 10).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4" authorId="0">
      <text>
        <r>
          <rPr>
            <sz val="10"/>
            <rFont val="Arial"/>
            <family val="2"/>
          </rPr>
          <t xml:space="preserve">Assumption: a typical path wins ~3 normal fights and ~1 elite per act (8 floors: floor 1 combat, floors 2-3 60% combat, floors 5 and 7 combat/elite). Not measured from playtests.</t>
        </r>
      </text>
    </comment>
  </commentList>
</comments>
</file>

<file path=xl/sharedStrings.xml><?xml version="1.0" encoding="utf-8"?>
<sst xmlns="http://schemas.openxmlformats.org/spreadsheetml/2006/main" count="549" uniqueCount="390">
  <si>
    <t xml:space="preserve">Lexicore – Unlock progression settings</t>
  </si>
  <si>
    <t xml:space="preserve">Blue cells on yellow are inputs (values from the live game code, rework.js). Change them here and every other sheet updates.</t>
  </si>
  <si>
    <t xml:space="preserve">Setting</t>
  </si>
  <si>
    <t xml:space="preserve">Value</t>
  </si>
  <si>
    <t xml:space="preserve">Code / note</t>
  </si>
  <si>
    <t xml:space="preserve">XP to next level: base</t>
  </si>
  <si>
    <t xml:space="preserve">xpNeed(lv) = 80 + 15*lv  (lv = current level, starts at 0)</t>
  </si>
  <si>
    <t xml:space="preserve">XP to next level: per level</t>
  </si>
  <si>
    <t xml:space="preserve">Max unlock level</t>
  </si>
  <si>
    <t xml:space="preserve">MAX_UNLOCK</t>
  </si>
  <si>
    <t xml:space="preserve">Normal fight XP: base (Act 1)</t>
  </si>
  <si>
    <t xml:space="preserve">fightXp("normal") = 9 + 2*(act-1)</t>
  </si>
  <si>
    <t xml:space="preserve">Normal fight XP: + per Act</t>
  </si>
  <si>
    <t xml:space="preserve">Elite fight XP: base (Act 1)</t>
  </si>
  <si>
    <t xml:space="preserve">fightXp("elite") = 22 + 5*(act-1)</t>
  </si>
  <si>
    <t xml:space="preserve">Elite fight XP: + per Act</t>
  </si>
  <si>
    <t xml:space="preserve">Boss fight XP: base (Act 1)</t>
  </si>
  <si>
    <t xml:space="preserve">fightXp("boss") = 45 + 10*(act-1)</t>
  </si>
  <si>
    <t xml:space="preserve">Boss fight XP: + per Act</t>
  </si>
  <si>
    <t xml:space="preserve">Rules</t>
  </si>
  <si>
    <t xml:space="preserve">• XP is earned per fight WON during a run and banked when the run ends (death or victory). XP numbers are never shown to the player, only the Unlocks bar.</t>
  </si>
  <si>
    <t xml:space="preserve">• Each unlock level adds exactly 1 relic and 1 consumable to every pool (shop, chests, elite rewards, events, claw machine, wheel). Locked items never drop.</t>
  </si>
  <si>
    <t xml:space="preserve">• Leftover XP carries over to the next level. At max level XP stops mattering.</t>
  </si>
  <si>
    <t xml:space="preserve">• Heroes unlock separately: entering the boss fight is enough (win or lose).</t>
  </si>
  <si>
    <t xml:space="preserve">• Save data: localStorage "lexicore-progress" = {xp, level, heroes[], seen:{e,w,r,p}}.</t>
  </si>
  <si>
    <t xml:space="preserve">Level</t>
  </si>
  <si>
    <t xml:space="preserve">XP needed (from previous level)</t>
  </si>
  <si>
    <t xml:space="preserve">Cumulative XP</t>
  </si>
  <si>
    <t xml:space="preserve">Relic id</t>
  </si>
  <si>
    <t xml:space="preserve">Relic</t>
  </si>
  <si>
    <t xml:space="preserve">Relic effect</t>
  </si>
  <si>
    <t xml:space="preserve">Consumable id</t>
  </si>
  <si>
    <t xml:space="preserve">Consumable</t>
  </si>
  <si>
    <t xml:space="preserve">Consumable effect</t>
  </si>
  <si>
    <t xml:space="preserve">(start: every relic not listed below)</t>
  </si>
  <si>
    <t xml:space="preserve">(start: every consumable not listed below)</t>
  </si>
  <si>
    <t xml:space="preserve">bounty</t>
  </si>
  <si>
    <t xml:space="preserve">Bounty Poster</t>
  </si>
  <si>
    <t xml:space="preserve">Elites start combat with 25% less HP.</t>
  </si>
  <si>
    <t xml:space="preserve">ragesoda</t>
  </si>
  <si>
    <t xml:space="preserve">Rage Soda</t>
  </si>
  <si>
    <t xml:space="preserve">Gain 10 Might for this turn only.</t>
  </si>
  <si>
    <t xml:space="preserve">piggy</t>
  </si>
  <si>
    <t xml:space="preserve">Piggy Bank</t>
  </si>
  <si>
    <t xml:space="preserve">At the end of each combat, gain 10 gold for every 100 gold you hold (125 gold → +10, 230 gold → +20).</t>
  </si>
  <si>
    <t xml:space="preserve">brickmilk</t>
  </si>
  <si>
    <t xml:space="preserve">Brick Milk</t>
  </si>
  <si>
    <t xml:space="preserve">Gain 10 Robust for this turn only.</t>
  </si>
  <si>
    <t xml:space="preserve">laminator</t>
  </si>
  <si>
    <t xml:space="preserve">Laminator</t>
  </si>
  <si>
    <t xml:space="preserve">Letter tiles you add to your deck (rewards, shop, claw machine) become Level 2.</t>
  </si>
  <si>
    <t xml:space="preserve">rocket</t>
  </si>
  <si>
    <t xml:space="preserve">Rocket Pop</t>
  </si>
  <si>
    <t xml:space="preserve">Deal 50 damage to the target.</t>
  </si>
  <si>
    <t xml:space="preserve">papercut</t>
  </si>
  <si>
    <t xml:space="preserve">Paper Cut</t>
  </si>
  <si>
    <t xml:space="preserve">Every tile you draw during your turn deals 1 damage to a random enemy. (Refilling your hand at the start of the turn doesn't count.)</t>
  </si>
  <si>
    <t xml:space="preserve">cluster</t>
  </si>
  <si>
    <t xml:space="preserve">Cluster Bomb</t>
  </si>
  <si>
    <t xml:space="preserve">Deal 25 damage to ALL enemies.</t>
  </si>
  <si>
    <t xml:space="preserve">nail</t>
  </si>
  <si>
    <t xml:space="preserve">Rusty Nail</t>
  </si>
  <si>
    <t xml:space="preserve">Every attack you cast also inflicts 1 Poison on the enemy it hits.</t>
  </si>
  <si>
    <t xml:space="preserve">bigheal</t>
  </si>
  <si>
    <t xml:space="preserve">Full Flask</t>
  </si>
  <si>
    <t xml:space="preserve">Heal 50% of your Max HP. Usable anywhere.</t>
  </si>
  <si>
    <t xml:space="preserve">barbed</t>
  </si>
  <si>
    <t xml:space="preserve">Barbed Wire</t>
  </si>
  <si>
    <t xml:space="preserve">For every 10 Shield you gain from your words, gain 1 Thorns for the rest of the combat.</t>
  </si>
  <si>
    <t xml:space="preserve">panacea</t>
  </si>
  <si>
    <t xml:space="preserve">Panacea</t>
  </si>
  <si>
    <t xml:space="preserve">Remove every debuff on you: Poison, Weaken, Broken, Curse and Frustrated.</t>
  </si>
  <si>
    <t xml:space="preserve">trophy</t>
  </si>
  <si>
    <t xml:space="preserve">Big Game Trophy</t>
  </si>
  <si>
    <t xml:space="preserve">Gain 1 extra Energy every turn in Elite and Boss fights.</t>
  </si>
  <si>
    <t xml:space="preserve">flashbang</t>
  </si>
  <si>
    <t xml:space="preserve">Flashbang</t>
  </si>
  <si>
    <t xml:space="preserve">Stun the target: it skips its next turn.</t>
  </si>
  <si>
    <t xml:space="preserve">megaphone</t>
  </si>
  <si>
    <t xml:space="preserve">Megaphone</t>
  </si>
  <si>
    <t xml:space="preserve">Each [ ! ] in an attack word counts as one more attack (for Chalk Tally, Rusty Nail and similar effects).</t>
  </si>
  <si>
    <t xml:space="preserve">titan</t>
  </si>
  <si>
    <t xml:space="preserve">Titan Serum</t>
  </si>
  <si>
    <t xml:space="preserve">Multiply your current Might by 5.</t>
  </si>
  <si>
    <t xml:space="preserve">magnet</t>
  </si>
  <si>
    <t xml:space="preserve">Arcade Token</t>
  </si>
  <si>
    <t xml:space="preserve">Every ? node becomes the Claw Machine. It only gives 2 tries, but the claw becomes a magnet that pulls in everything around it.</t>
  </si>
  <si>
    <t xml:space="preserve">bastion</t>
  </si>
  <si>
    <t xml:space="preserve">Bastion Serum</t>
  </si>
  <si>
    <t xml:space="preserve">Multiply your current Robust by 5.</t>
  </si>
  <si>
    <t xml:space="preserve">swearjar</t>
  </si>
  <si>
    <t xml:space="preserve">Swear Jar</t>
  </si>
  <si>
    <t xml:space="preserve">Swear words count as real words, and every swear word you cast gives +2 Arcana.</t>
  </si>
  <si>
    <t xml:space="preserve">overclock</t>
  </si>
  <si>
    <t xml:space="preserve">Overclock Chip</t>
  </si>
  <si>
    <t xml:space="preserve">Your selected weapon costs 0 Energy for the rest of this turn.</t>
  </si>
  <si>
    <t xml:space="preserve">Total</t>
  </si>
  <si>
    <t xml:space="preserve">Act</t>
  </si>
  <si>
    <t xml:space="preserve">Normal</t>
  </si>
  <si>
    <t xml:space="preserve">Elite</t>
  </si>
  <si>
    <t xml:space="preserve">Boss</t>
  </si>
  <si>
    <t xml:space="preserve">Act 4 has no normal or elite fights (Rest → Shop → Event → LEXICORE), only the boss row applies.</t>
  </si>
  <si>
    <t xml:space="preserve">How many levels does a run give? Edit the fight counts (blue) to test.</t>
  </si>
  <si>
    <t xml:space="preserve">Normal fights won</t>
  </si>
  <si>
    <t xml:space="preserve">Elite fights won</t>
  </si>
  <si>
    <t xml:space="preserve">Boss won?</t>
  </si>
  <si>
    <t xml:space="preserve">XP this act</t>
  </si>
  <si>
    <t xml:space="preserve">Scenario</t>
  </si>
  <si>
    <t xml:space="preserve">Run XP</t>
  </si>
  <si>
    <t xml:space="preserve">Level reached (from level 0)</t>
  </si>
  <si>
    <t xml:space="preserve">Full win (all 4 acts)</t>
  </si>
  <si>
    <t xml:space="preserve">Die in Act 1 boss</t>
  </si>
  <si>
    <t xml:space="preserve">Die in Act 2 boss</t>
  </si>
  <si>
    <t xml:space="preserve">Die in Act 3 boss</t>
  </si>
  <si>
    <t xml:space="preserve">Runs to reach max level (full wins only)</t>
  </si>
  <si>
    <t xml:space="preserve">Runs to reach max level (dying in the Act 2 boss)</t>
  </si>
  <si>
    <t xml:space="preserve">Order</t>
  </si>
  <si>
    <t xml:space="preserve">Hero id</t>
  </si>
  <si>
    <t xml:space="preserve">Hero</t>
  </si>
  <si>
    <t xml:space="preserve">Unlock condition</t>
  </si>
  <si>
    <t xml:space="preserve">Max HP</t>
  </si>
  <si>
    <t xml:space="preserve">Starting weapons</t>
  </si>
  <si>
    <t xml:space="preserve">Starting relic</t>
  </si>
  <si>
    <t xml:space="preserve">Select-screen hint (locked)</t>
  </si>
  <si>
    <t xml:space="preserve">scholar</t>
  </si>
  <si>
    <t xml:space="preserve">The Scholar</t>
  </si>
  <si>
    <t xml:space="preserve">Available from the start</t>
  </si>
  <si>
    <t xml:space="preserve">Spellbook, Barrier</t>
  </si>
  <si>
    <t xml:space="preserve">Journal</t>
  </si>
  <si>
    <t xml:space="preserve">—</t>
  </si>
  <si>
    <t xml:space="preserve">champion</t>
  </si>
  <si>
    <t xml:space="preserve">The Champion</t>
  </si>
  <si>
    <t xml:space="preserve">Reach the Act 1 boss (enter the fight, win or lose)</t>
  </si>
  <si>
    <t xml:space="preserve">Greatsword, Dumbbell</t>
  </si>
  <si>
    <t xml:space="preserve">Berserker's Blood</t>
  </si>
  <si>
    <t xml:space="preserve">mercenary</t>
  </si>
  <si>
    <t xml:space="preserve">The Mercenary</t>
  </si>
  <si>
    <t xml:space="preserve">Reach the Act 2 boss (enter the fight, win or lose)</t>
  </si>
  <si>
    <t xml:space="preserve">Parrying Dagger, Utility Belt</t>
  </si>
  <si>
    <t xml:space="preserve">Quick Gloves</t>
  </si>
  <si>
    <t xml:space="preserve">Type</t>
  </si>
  <si>
    <t xml:space="preserve">id</t>
  </si>
  <si>
    <t xml:space="preserve">Name</t>
  </si>
  <si>
    <t xml:space="preserve">Category</t>
  </si>
  <si>
    <t xml:space="preserve">Effect</t>
  </si>
  <si>
    <t xml:space="preserve">blood</t>
  </si>
  <si>
    <t xml:space="preserve">Starter (hero only)</t>
  </si>
  <si>
    <t xml:space="preserve">Starter relic of The Champion. Your attacks deal +1 damage for every 4 HP you are missing.</t>
  </si>
  <si>
    <t xml:space="preserve">journal</t>
  </si>
  <si>
    <t xml:space="preserve">Starter relic of The Scholar. The second time you cast the same word in a combat, its output is doubled. From the third time on it scores normally.</t>
  </si>
  <si>
    <t xml:space="preserve">gloves</t>
  </si>
  <si>
    <t xml:space="preserve">Starter relic of The Mercenary. After the first word you cast in each combat, draw as many tiles as it used.</t>
  </si>
  <si>
    <t xml:space="preserve">bird</t>
  </si>
  <si>
    <t xml:space="preserve">Bendy Straw</t>
  </si>
  <si>
    <t xml:space="preserve">Common</t>
  </si>
  <si>
    <t xml:space="preserve">Heal 5 HP whenever you use a consumable.</t>
  </si>
  <si>
    <t xml:space="preserve">potbelt</t>
  </si>
  <si>
    <t xml:space="preserve">Bottle Rack</t>
  </si>
  <si>
    <t xml:space="preserve">Gain 2 extra consumable slots.</t>
  </si>
  <si>
    <t xml:space="preserve">berry</t>
  </si>
  <si>
    <t xml:space="preserve">Canned Peaches</t>
  </si>
  <si>
    <t xml:space="preserve">Raise your Max HP by 7 when you pick it up.</t>
  </si>
  <si>
    <t xml:space="preserve">ticket</t>
  </si>
  <si>
    <t xml:space="preserve">Caravan Stew</t>
  </si>
  <si>
    <t xml:space="preserve">Heal 15 HP whenever you enter a shop.</t>
  </si>
  <si>
    <t xml:space="preserve">nib</t>
  </si>
  <si>
    <t xml:space="preserve">Chalk Tally</t>
  </si>
  <si>
    <t xml:space="preserve">Every 10th attack you cast deals double damage.</t>
  </si>
  <si>
    <t xml:space="preserve">medkit</t>
  </si>
  <si>
    <t xml:space="preserve">Duct Tape</t>
  </si>
  <si>
    <t xml:space="preserve">The first time you fall below 50% HP in a combat, heal 12.</t>
  </si>
  <si>
    <t xml:space="preserve">coupon</t>
  </si>
  <si>
    <t xml:space="preserve">Haggler's Badge</t>
  </si>
  <si>
    <t xml:space="preserve">Everything in the shop costs 25% less.</t>
  </si>
  <si>
    <t xml:space="preserve">knuckle</t>
  </si>
  <si>
    <t xml:space="preserve">Iron Knuckles</t>
  </si>
  <si>
    <t xml:space="preserve">Start each combat with 2 Might.</t>
  </si>
  <si>
    <t xml:space="preserve">idol</t>
  </si>
  <si>
    <t xml:space="preserve">Magpie Feather</t>
  </si>
  <si>
    <t xml:space="preserve">Enemies drop 25% more gold.</t>
  </si>
  <si>
    <t xml:space="preserve">shuriken</t>
  </si>
  <si>
    <t xml:space="preserve">Metronome</t>
  </si>
  <si>
    <t xml:space="preserve">Every 3rd word you cast in a turn gives +1 Might.</t>
  </si>
  <si>
    <t xml:space="preserve">monocle</t>
  </si>
  <si>
    <t xml:space="preserve">Monocle</t>
  </si>
  <si>
    <t xml:space="preserve">Casting a single tile (U, A!, Z!!) gets +3 Arcana.</t>
  </si>
  <si>
    <t xml:space="preserve">parrot</t>
  </si>
  <si>
    <t xml:space="preserve">Parrot</t>
  </si>
  <si>
    <t xml:space="preserve">+2 Arcana if you cast exactly the same word(s) as your previous cast.</t>
  </si>
  <si>
    <t xml:space="preserve">pouch</t>
  </si>
  <si>
    <t xml:space="preserve">Pencil Case</t>
  </si>
  <si>
    <t xml:space="preserve">On the first turn of each combat, after every word you cast, draw back up to 16 tiles.</t>
  </si>
  <si>
    <t xml:space="preserve">scales</t>
  </si>
  <si>
    <t xml:space="preserve">Potted Cactus</t>
  </si>
  <si>
    <t xml:space="preserve">Start each combat with 3 Thorns that last the whole fight.</t>
  </si>
  <si>
    <t xml:space="preserve">protein</t>
  </si>
  <si>
    <t xml:space="preserve">Protein Bar</t>
  </si>
  <si>
    <t xml:space="preserve">Every word with a double letter (LL, OO, SS…) also gives you +1 Might.</t>
  </si>
  <si>
    <t xml:space="preserve">opener</t>
  </si>
  <si>
    <t xml:space="preserve">Rubber Stamp</t>
  </si>
  <si>
    <t xml:space="preserve">Every 3rd word you cast in a turn deals 5 damage to ALL enemies.</t>
  </si>
  <si>
    <t xml:space="preserve">sandbag</t>
  </si>
  <si>
    <t xml:space="preserve">Sandbag</t>
  </si>
  <si>
    <t xml:space="preserve">Every word of 6+ letters you cast also gives you 10 Shield.</t>
  </si>
  <si>
    <t xml:space="preserve">anchor</t>
  </si>
  <si>
    <t xml:space="preserve">Scrap Plating</t>
  </si>
  <si>
    <t xml:space="preserve">Start each combat with 10 Shield.</t>
  </si>
  <si>
    <t xml:space="preserve">pillow</t>
  </si>
  <si>
    <t xml:space="preserve">Sleeping Bag</t>
  </si>
  <si>
    <t xml:space="preserve">Resting at a Rest Site heals 15 more HP.</t>
  </si>
  <si>
    <t xml:space="preserve">snakecharm</t>
  </si>
  <si>
    <t xml:space="preserve">Snake Charm</t>
  </si>
  <si>
    <t xml:space="preserve">Every word containing S or Z also inflicts 2 Poison on the target.</t>
  </si>
  <si>
    <t xml:space="preserve">lantern</t>
  </si>
  <si>
    <t xml:space="preserve">Spark Plug</t>
  </si>
  <si>
    <t xml:space="preserve">Gain 1 extra Energy on the first turn of each combat.</t>
  </si>
  <si>
    <t xml:space="preserve">coil</t>
  </si>
  <si>
    <t xml:space="preserve">Static Coil</t>
  </si>
  <si>
    <t xml:space="preserve">At the start of each of your turns, deal 3 damage to ALL enemies.</t>
  </si>
  <si>
    <t xml:space="preserve">thermos</t>
  </si>
  <si>
    <t xml:space="preserve">Thermos</t>
  </si>
  <si>
    <t xml:space="preserve">Heal 8 HP at the end of every combat.</t>
  </si>
  <si>
    <t xml:space="preserve">umbrella</t>
  </si>
  <si>
    <t xml:space="preserve">Umbrella</t>
  </si>
  <si>
    <t xml:space="preserve">Every word that starts with a vowel also gives you 8 Shield.</t>
  </si>
  <si>
    <t xml:space="preserve">flower</t>
  </si>
  <si>
    <t xml:space="preserve">Wind-up Key</t>
  </si>
  <si>
    <t xml:space="preserve">Every 3rd turn of a combat, gain 1 extra Energy.</t>
  </si>
  <si>
    <t xml:space="preserve">actionfig</t>
  </si>
  <si>
    <t xml:space="preserve">Action Figure</t>
  </si>
  <si>
    <t xml:space="preserve">Arcana (Mult)</t>
  </si>
  <si>
    <t xml:space="preserve">+0.95 Arcana for every verb you cast.</t>
  </si>
  <si>
    <t xml:space="preserve">r17</t>
  </si>
  <si>
    <t xml:space="preserve">Choir Bell</t>
  </si>
  <si>
    <t xml:space="preserve">+1.5 Arcana if vowels outnumber consonants.</t>
  </si>
  <si>
    <t xml:space="preserve">r5</t>
  </si>
  <si>
    <t xml:space="preserve">Consonant Coil</t>
  </si>
  <si>
    <t xml:space="preserve">+0.4 Arcana per unique consonant.</t>
  </si>
  <si>
    <t xml:space="preserve">lens</t>
  </si>
  <si>
    <t xml:space="preserve">Cracked Lens</t>
  </si>
  <si>
    <t xml:space="preserve">+0.7 Arcana for every debuffed tile in the word (Slimy, Poisoned, Cursed…). More debuffs, more Arcana.</t>
  </si>
  <si>
    <t xml:space="preserve">r14</t>
  </si>
  <si>
    <t xml:space="preserve">Dawn Glyph</t>
  </si>
  <si>
    <t xml:space="preserve">+0.7 Arcana if word starts with A–F.</t>
  </si>
  <si>
    <t xml:space="preserve">r15</t>
  </si>
  <si>
    <t xml:space="preserve">Dusk Glyph</t>
  </si>
  <si>
    <t xml:space="preserve">+0.7 Arcana if word ends with T–Z.</t>
  </si>
  <si>
    <t xml:space="preserve">fieldguide</t>
  </si>
  <si>
    <t xml:space="preserve">Field Guide</t>
  </si>
  <si>
    <t xml:space="preserve">+1 Arcana for every word that is an animal (CAT, WOLVES, OCTOPUS…).</t>
  </si>
  <si>
    <t xml:space="preserve">r13</t>
  </si>
  <si>
    <t xml:space="preserve">Heart Vowel</t>
  </si>
  <si>
    <t xml:space="preserve">+0.95 Arcana if the exact middle letter is a vowel.</t>
  </si>
  <si>
    <t xml:space="preserve">r9</t>
  </si>
  <si>
    <t xml:space="preserve">Heavy Ink</t>
  </si>
  <si>
    <t xml:space="preserve">+0.6 Arcana per played tile with Spell Power ≥ 5.</t>
  </si>
  <si>
    <t xml:space="preserve">jobboard</t>
  </si>
  <si>
    <t xml:space="preserve">Job Board</t>
  </si>
  <si>
    <t xml:space="preserve">+1 Arcana for every word that is a job (BAKER, PILOTS, WIZARD…).</t>
  </si>
  <si>
    <t xml:space="preserve">r12</t>
  </si>
  <si>
    <t xml:space="preserve">Ledger Stone</t>
  </si>
  <si>
    <t xml:space="preserve">+0.95 Arcana if total base Spell Power ≥ 15.</t>
  </si>
  <si>
    <t xml:space="preserve">r7</t>
  </si>
  <si>
    <t xml:space="preserve">Lone Wolf Seal</t>
  </si>
  <si>
    <t xml:space="preserve">+0.7 Arcana if no letter repeats.</t>
  </si>
  <si>
    <t xml:space="preserve">r11</t>
  </si>
  <si>
    <t xml:space="preserve">Long Scroll</t>
  </si>
  <si>
    <t xml:space="preserve">+2 Arcana if word is 7+ letters.</t>
  </si>
  <si>
    <t xml:space="preserve">r6</t>
  </si>
  <si>
    <t xml:space="preserve">Mirror Shard</t>
  </si>
  <si>
    <t xml:space="preserve">+1 Arcana per pair of adjacent identical letters.</t>
  </si>
  <si>
    <t xml:space="preserve">moodring</t>
  </si>
  <si>
    <t xml:space="preserve">Mood Ring</t>
  </si>
  <si>
    <t xml:space="preserve">+1 Arcana for every adjective you cast.</t>
  </si>
  <si>
    <t xml:space="preserve">nametag</t>
  </si>
  <si>
    <t xml:space="preserve">Name Tag</t>
  </si>
  <si>
    <t xml:space="preserve">+0.7 Arcana for every noun you cast.</t>
  </si>
  <si>
    <t xml:space="preserve">r2</t>
  </si>
  <si>
    <t xml:space="preserve">Odd Fang</t>
  </si>
  <si>
    <t xml:space="preserve">+0.7 Arcana if word length is odd.</t>
  </si>
  <si>
    <t xml:space="preserve">r16</t>
  </si>
  <si>
    <t xml:space="preserve">Open Mouth</t>
  </si>
  <si>
    <t xml:space="preserve">+1.5 Arcana if word starts and ends with vowels.</t>
  </si>
  <si>
    <t xml:space="preserve">r3</t>
  </si>
  <si>
    <t xml:space="preserve">Ouroboros Loop</t>
  </si>
  <si>
    <t xml:space="preserve">+1.5 Arcana if first letter matches last letter.</t>
  </si>
  <si>
    <t xml:space="preserve">paintchart</t>
  </si>
  <si>
    <t xml:space="preserve">Paint Chart</t>
  </si>
  <si>
    <t xml:space="preserve">+1.5 Arcana for every word that is a color (RED, TEAL, CRIMSON…).</t>
  </si>
  <si>
    <t xml:space="preserve">r10</t>
  </si>
  <si>
    <t xml:space="preserve">Pebble Charm</t>
  </si>
  <si>
    <t xml:space="preserve">+1 Arcana if ALL played tiles have Spell Power ≤ 4.</t>
  </si>
  <si>
    <t xml:space="preserve">r8</t>
  </si>
  <si>
    <t xml:space="preserve">Triad Totem</t>
  </si>
  <si>
    <t xml:space="preserve">+2.5 Arcana if one letter appears 3+ times.</t>
  </si>
  <si>
    <t xml:space="preserve">r1</t>
  </si>
  <si>
    <t xml:space="preserve">Twin Moons</t>
  </si>
  <si>
    <t xml:space="preserve">+0.7 Arcana if word length is even.</t>
  </si>
  <si>
    <t xml:space="preserve">r4</t>
  </si>
  <si>
    <t xml:space="preserve">Vowel Prism</t>
  </si>
  <si>
    <t xml:space="preserve">+0.45 Arcana per unique vowel.</t>
  </si>
  <si>
    <t xml:space="preserve">comma</t>
  </si>
  <si>
    <t xml:space="preserve">Hinge Pin</t>
  </si>
  <si>
    <t xml:space="preserve">Tile grant</t>
  </si>
  <si>
    <t xml:space="preserve">Adds a [ , ] tile. Place it between two words to cast both at once (BIG,CAT).</t>
  </si>
  <si>
    <t xml:space="preserve">wild</t>
  </si>
  <si>
    <t xml:space="preserve">Jester Rune</t>
  </si>
  <si>
    <t xml:space="preserve">Adds a [ ? ] Wildcard tile to your deck. It becomes the best-scoring letter that makes a word.</t>
  </si>
  <si>
    <t xml:space="preserve">bang</t>
  </si>
  <si>
    <t xml:space="preserve">War Horn</t>
  </si>
  <si>
    <t xml:space="preserve">Adds two [ ! ] tiles. Put them at the end of a word: +2, +4, +6, +10… Spell Power per consecutive !.</t>
  </si>
  <si>
    <t xml:space="preserve">sozu</t>
  </si>
  <si>
    <t xml:space="preserve">Cracked Flask</t>
  </si>
  <si>
    <t xml:space="preserve">Boss relic (after Act 1-3 boss)</t>
  </si>
  <si>
    <t xml:space="preserve">Boss relic. Gain 1 extra Energy every turn. Using a consumable costs you 10 HP.</t>
  </si>
  <si>
    <t xml:space="preserve">crown</t>
  </si>
  <si>
    <t xml:space="preserve">Dry Palette</t>
  </si>
  <si>
    <t xml:space="preserve">Boss relic. Gain 1 extra Energy every turn. Tile rewards offer only 1 tile.</t>
  </si>
  <si>
    <t xml:space="preserve">satchel</t>
  </si>
  <si>
    <t xml:space="preserve">Hoarder's Satchel</t>
  </si>
  <si>
    <t xml:space="preserve">Boss relic. Unused tiles stay in your hand at the end of your turn. You draw back up to 16.</t>
  </si>
  <si>
    <t xml:space="preserve">ecto</t>
  </si>
  <si>
    <t xml:space="preserve">Hollow Coin</t>
  </si>
  <si>
    <t xml:space="preserve">Boss relic. Gain 1 extra Energy every turn. Enemies no longer drop gold.</t>
  </si>
  <si>
    <t xml:space="preserve">dripper</t>
  </si>
  <si>
    <t xml:space="preserve">Insomnia Lamp</t>
  </si>
  <si>
    <t xml:space="preserve">Boss relic. Gain 1 extra Energy every turn. Resting at a Rest Site heals only 15% of your Max HP (instead of 30%).</t>
  </si>
  <si>
    <t xml:space="preserve">philo</t>
  </si>
  <si>
    <t xml:space="preserve">Rival's Banner</t>
  </si>
  <si>
    <t xml:space="preserve">Boss relic. Gain 1 extra Energy every turn. You start every combat with 1 Broken.</t>
  </si>
  <si>
    <t xml:space="preserve">fruit</t>
  </si>
  <si>
    <t xml:space="preserve">Ancient Fruit</t>
  </si>
  <si>
    <t xml:space="preserve">Any time</t>
  </si>
  <si>
    <t xml:space="preserve">Raise your Max HP by 5 and heal 5. Usable anywhere.</t>
  </si>
  <si>
    <t xml:space="preserve">shout</t>
  </si>
  <si>
    <t xml:space="preserve">Battle Cry</t>
  </si>
  <si>
    <t xml:space="preserve">Combat</t>
  </si>
  <si>
    <t xml:space="preserve">Add 5 Fragile [ ! ] tiles to your hand (or your discard pile if your hand is full).</t>
  </si>
  <si>
    <t xml:space="preserve">bomb</t>
  </si>
  <si>
    <t xml:space="preserve">Blast Jar</t>
  </si>
  <si>
    <t xml:space="preserve">Deal 12 damage to ALL enemies (+6 per Act after the first).</t>
  </si>
  <si>
    <t xml:space="preserve">clarity</t>
  </si>
  <si>
    <t xml:space="preserve">Clarity Draught</t>
  </si>
  <si>
    <t xml:space="preserve">Every tile in your hand becomes Level 2 for this combat.</t>
  </si>
  <si>
    <t xml:space="preserve">echo</t>
  </si>
  <si>
    <t xml:space="preserve">Echo Draught</t>
  </si>
  <si>
    <t xml:space="preserve">The next word you cast this turn has its output doubled.</t>
  </si>
  <si>
    <t xml:space="preserve">tonic</t>
  </si>
  <si>
    <t xml:space="preserve">Energy Tonic</t>
  </si>
  <si>
    <t xml:space="preserve">Gain 2 Energy.</t>
  </si>
  <si>
    <t xml:space="preserve">pages</t>
  </si>
  <si>
    <t xml:space="preserve">Fresh Pages</t>
  </si>
  <si>
    <t xml:space="preserve">Discard your whole hand and draw a fresh 16 tiles.</t>
  </si>
  <si>
    <t xml:space="preserve">heal</t>
  </si>
  <si>
    <t xml:space="preserve">Healing Draught</t>
  </si>
  <si>
    <t xml:space="preserve">Heal 20 HP (+10 per Act after the first). Usable anywhere.</t>
  </si>
  <si>
    <t xml:space="preserve">ink</t>
  </si>
  <si>
    <t xml:space="preserve">Ink of Plenty</t>
  </si>
  <si>
    <t xml:space="preserve">Draw 5 tiles.</t>
  </si>
  <si>
    <t xml:space="preserve">iron</t>
  </si>
  <si>
    <t xml:space="preserve">Iron Tonic</t>
  </si>
  <si>
    <t xml:space="preserve">Gain 15 Shield (×Act number).</t>
  </si>
  <si>
    <t xml:space="preserve">jester</t>
  </si>
  <si>
    <t xml:space="preserve">Jester's Brew</t>
  </si>
  <si>
    <t xml:space="preserve">Add 2 Fragile [ ? ] Wildcard tiles to your hand (or your discard pile if your hand is full).</t>
  </si>
  <si>
    <t xml:space="preserve">might</t>
  </si>
  <si>
    <t xml:space="preserve">Mighty Brew</t>
  </si>
  <si>
    <t xml:space="preserve">Gain 3 Might (+2 per Act after the first).</t>
  </si>
  <si>
    <t xml:space="preserve">phoenix</t>
  </si>
  <si>
    <t xml:space="preserve">Phoenix Feather</t>
  </si>
  <si>
    <t xml:space="preserve">Passive</t>
  </si>
  <si>
    <t xml:space="preserve">Keep it in a slot. When you would die, it burns and brings you back with 30% HP. It can't be drunk.</t>
  </si>
  <si>
    <t xml:space="preserve">purge</t>
  </si>
  <si>
    <t xml:space="preserve">Purge Salts</t>
  </si>
  <si>
    <t xml:space="preserve">Cleanse every debuff from the tiles in your hand.</t>
  </si>
  <si>
    <t xml:space="preserve">brittle</t>
  </si>
  <si>
    <t xml:space="preserve">Shatter Draught</t>
  </si>
  <si>
    <t xml:space="preserve">Inflict Broken 3 on ALL enemies (+50% damage taken).</t>
  </si>
  <si>
    <t xml:space="preserve">temper</t>
  </si>
  <si>
    <t xml:space="preserve">Tempering Oil</t>
  </si>
  <si>
    <t xml:space="preserve">Fortify up to 4 tiles in your hand for this combat (they stay in your hand and can't be debuffed). Also cleanses them.</t>
  </si>
  <si>
    <t xml:space="preserve">smoke</t>
  </si>
  <si>
    <t xml:space="preserve">Vanishing Powder</t>
  </si>
  <si>
    <t xml:space="preserve">Escape a normal or Elite fight. You get no reward. Doesn't work on bosses.</t>
  </si>
  <si>
    <t xml:space="preserve">venom</t>
  </si>
  <si>
    <t xml:space="preserve">Venom Vial</t>
  </si>
  <si>
    <t xml:space="preserve">Inflict 8 Poison on the target (+4 per Act after the first).</t>
  </si>
  <si>
    <t xml:space="preserve">fire</t>
  </si>
  <si>
    <t xml:space="preserve">Volatile Flask</t>
  </si>
  <si>
    <t xml:space="preserve">Deal 20 damage to the target (×Act number).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</si>
</sst>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3D3A44"/>
        <bgColor rgb="FF333300"/>
      </patternFill>
    </fill>
    <fill>
      <patternFill patternType="solid">
        <fgColor rgb="FFFFF4C2"/>
        <bgColor rgb="FFFFFF99"/>
      </patternFill>
    </fill>
    <fill>
      <patternFill patternType="solid">
        <fgColor rgb="FFEFE6FF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4C2"/>
      <rgbColor rgb="FFEFE6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0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v>80</v>
      </c>
      <c r="C5" s="4" t="s">
        <v>6</v>
      </c>
    </row>
    <row r="6" customFormat="false" ht="15" hidden="false" customHeight="false" outlineLevel="0" collapsed="false">
      <c r="A6" s="4" t="s">
        <v>7</v>
      </c>
      <c r="B6" s="5" t="n">
        <v>15</v>
      </c>
      <c r="C6" s="4"/>
    </row>
    <row r="7" customFormat="false" ht="15" hidden="false" customHeight="false" outlineLevel="0" collapsed="false">
      <c r="A7" s="4" t="s">
        <v>8</v>
      </c>
      <c r="B7" s="5" t="n">
        <v>10</v>
      </c>
      <c r="C7" s="4" t="s">
        <v>9</v>
      </c>
    </row>
    <row r="8" customFormat="false" ht="15" hidden="false" customHeight="false" outlineLevel="0" collapsed="false">
      <c r="A8" s="4" t="s">
        <v>10</v>
      </c>
      <c r="B8" s="5" t="n">
        <v>9</v>
      </c>
      <c r="C8" s="4" t="s">
        <v>11</v>
      </c>
    </row>
    <row r="9" customFormat="false" ht="15" hidden="false" customHeight="false" outlineLevel="0" collapsed="false">
      <c r="A9" s="4" t="s">
        <v>12</v>
      </c>
      <c r="B9" s="5" t="n">
        <v>2</v>
      </c>
      <c r="C9" s="4"/>
    </row>
    <row r="10" customFormat="false" ht="15" hidden="false" customHeight="false" outlineLevel="0" collapsed="false">
      <c r="A10" s="4" t="s">
        <v>13</v>
      </c>
      <c r="B10" s="5" t="n">
        <v>22</v>
      </c>
      <c r="C10" s="4" t="s">
        <v>14</v>
      </c>
    </row>
    <row r="11" customFormat="false" ht="15" hidden="false" customHeight="false" outlineLevel="0" collapsed="false">
      <c r="A11" s="4" t="s">
        <v>15</v>
      </c>
      <c r="B11" s="5" t="n">
        <v>5</v>
      </c>
      <c r="C11" s="4"/>
    </row>
    <row r="12" customFormat="false" ht="15" hidden="false" customHeight="false" outlineLevel="0" collapsed="false">
      <c r="A12" s="4" t="s">
        <v>16</v>
      </c>
      <c r="B12" s="5" t="n">
        <v>45</v>
      </c>
      <c r="C12" s="4" t="s">
        <v>17</v>
      </c>
    </row>
    <row r="13" customFormat="false" ht="15" hidden="false" customHeight="false" outlineLevel="0" collapsed="false">
      <c r="A13" s="4" t="s">
        <v>18</v>
      </c>
      <c r="B13" s="5" t="n">
        <v>10</v>
      </c>
      <c r="C13" s="4"/>
    </row>
    <row r="15" customFormat="false" ht="15" hidden="false" customHeight="false" outlineLevel="0" collapsed="false">
      <c r="A15" s="6" t="s">
        <v>19</v>
      </c>
    </row>
    <row r="16" customFormat="false" ht="15" hidden="false" customHeight="false" outlineLevel="0" collapsed="false">
      <c r="A16" s="4" t="s">
        <v>20</v>
      </c>
    </row>
    <row r="17" customFormat="false" ht="15" hidden="false" customHeight="false" outlineLevel="0" collapsed="false">
      <c r="A17" s="4" t="s">
        <v>21</v>
      </c>
    </row>
    <row r="18" customFormat="false" ht="15" hidden="false" customHeight="false" outlineLevel="0" collapsed="false">
      <c r="A18" s="4" t="s">
        <v>22</v>
      </c>
    </row>
    <row r="19" customFormat="false" ht="15" hidden="false" customHeight="false" outlineLevel="0" collapsed="false">
      <c r="A19" s="4" t="s">
        <v>23</v>
      </c>
    </row>
    <row r="20" customFormat="false" ht="15" hidden="false" customHeight="false" outlineLevel="0" collapsed="false">
      <c r="A20" s="4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18"/>
    <col collapsed="false" customWidth="true" hidden="false" outlineLevel="0" max="6" min="6" style="0" width="48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48"/>
  </cols>
  <sheetData>
    <row r="1" customFormat="false" ht="52.2" hidden="false" customHeight="false" outlineLevel="0" collapsed="false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</row>
    <row r="2" customFormat="false" ht="39.55" hidden="false" customHeight="false" outlineLevel="0" collapsed="false">
      <c r="A2" s="7" t="n">
        <v>0</v>
      </c>
      <c r="B2" s="7" t="n">
        <v>0</v>
      </c>
      <c r="C2" s="7" t="n">
        <v>0</v>
      </c>
      <c r="D2" s="8"/>
      <c r="E2" s="7" t="s">
        <v>34</v>
      </c>
      <c r="F2" s="8"/>
      <c r="G2" s="8"/>
      <c r="H2" s="7" t="s">
        <v>35</v>
      </c>
      <c r="I2" s="8"/>
    </row>
    <row r="3" customFormat="false" ht="15" hidden="false" customHeight="false" outlineLevel="0" collapsed="false">
      <c r="A3" s="7" t="n">
        <v>1</v>
      </c>
      <c r="B3" s="9" t="n">
        <f aca="false">Settings!$B$5+Settings!$B$6*(A3-1)</f>
        <v>80</v>
      </c>
      <c r="C3" s="7" t="n">
        <f aca="false">C2+B3</f>
        <v>80</v>
      </c>
      <c r="D3" s="7" t="s">
        <v>36</v>
      </c>
      <c r="E3" s="10" t="s">
        <v>37</v>
      </c>
      <c r="F3" s="7" t="s">
        <v>38</v>
      </c>
      <c r="G3" s="7" t="s">
        <v>39</v>
      </c>
      <c r="H3" s="10" t="s">
        <v>40</v>
      </c>
      <c r="I3" s="7" t="s">
        <v>41</v>
      </c>
    </row>
    <row r="4" customFormat="false" ht="39.55" hidden="false" customHeight="false" outlineLevel="0" collapsed="false">
      <c r="A4" s="7" t="n">
        <v>2</v>
      </c>
      <c r="B4" s="9" t="n">
        <f aca="false">Settings!$B$5+Settings!$B$6*(A4-1)</f>
        <v>95</v>
      </c>
      <c r="C4" s="7" t="n">
        <f aca="false">C3+B4</f>
        <v>175</v>
      </c>
      <c r="D4" s="7" t="s">
        <v>42</v>
      </c>
      <c r="E4" s="10" t="s">
        <v>43</v>
      </c>
      <c r="F4" s="7" t="s">
        <v>44</v>
      </c>
      <c r="G4" s="7" t="s">
        <v>45</v>
      </c>
      <c r="H4" s="10" t="s">
        <v>46</v>
      </c>
      <c r="I4" s="7" t="s">
        <v>47</v>
      </c>
    </row>
    <row r="5" customFormat="false" ht="26.85" hidden="false" customHeight="false" outlineLevel="0" collapsed="false">
      <c r="A5" s="7" t="n">
        <v>3</v>
      </c>
      <c r="B5" s="9" t="n">
        <f aca="false">Settings!$B$5+Settings!$B$6*(A5-1)</f>
        <v>110</v>
      </c>
      <c r="C5" s="7" t="n">
        <f aca="false">C4+B5</f>
        <v>285</v>
      </c>
      <c r="D5" s="7" t="s">
        <v>48</v>
      </c>
      <c r="E5" s="10" t="s">
        <v>49</v>
      </c>
      <c r="F5" s="7" t="s">
        <v>50</v>
      </c>
      <c r="G5" s="7" t="s">
        <v>51</v>
      </c>
      <c r="H5" s="10" t="s">
        <v>52</v>
      </c>
      <c r="I5" s="7" t="s">
        <v>53</v>
      </c>
    </row>
    <row r="6" customFormat="false" ht="39.55" hidden="false" customHeight="false" outlineLevel="0" collapsed="false">
      <c r="A6" s="7" t="n">
        <v>4</v>
      </c>
      <c r="B6" s="9" t="n">
        <f aca="false">Settings!$B$5+Settings!$B$6*(A6-1)</f>
        <v>125</v>
      </c>
      <c r="C6" s="7" t="n">
        <f aca="false">C5+B6</f>
        <v>410</v>
      </c>
      <c r="D6" s="7" t="s">
        <v>54</v>
      </c>
      <c r="E6" s="10" t="s">
        <v>55</v>
      </c>
      <c r="F6" s="7" t="s">
        <v>56</v>
      </c>
      <c r="G6" s="7" t="s">
        <v>57</v>
      </c>
      <c r="H6" s="10" t="s">
        <v>58</v>
      </c>
      <c r="I6" s="7" t="s">
        <v>59</v>
      </c>
    </row>
    <row r="7" customFormat="false" ht="26.85" hidden="false" customHeight="false" outlineLevel="0" collapsed="false">
      <c r="A7" s="7" t="n">
        <v>5</v>
      </c>
      <c r="B7" s="9" t="n">
        <f aca="false">Settings!$B$5+Settings!$B$6*(A7-1)</f>
        <v>140</v>
      </c>
      <c r="C7" s="7" t="n">
        <f aca="false">C6+B7</f>
        <v>550</v>
      </c>
      <c r="D7" s="7" t="s">
        <v>60</v>
      </c>
      <c r="E7" s="10" t="s">
        <v>61</v>
      </c>
      <c r="F7" s="7" t="s">
        <v>62</v>
      </c>
      <c r="G7" s="7" t="s">
        <v>63</v>
      </c>
      <c r="H7" s="10" t="s">
        <v>64</v>
      </c>
      <c r="I7" s="7" t="s">
        <v>65</v>
      </c>
    </row>
    <row r="8" customFormat="false" ht="26.85" hidden="false" customHeight="false" outlineLevel="0" collapsed="false">
      <c r="A8" s="7" t="n">
        <v>6</v>
      </c>
      <c r="B8" s="9" t="n">
        <f aca="false">Settings!$B$5+Settings!$B$6*(A8-1)</f>
        <v>155</v>
      </c>
      <c r="C8" s="7" t="n">
        <f aca="false">C7+B8</f>
        <v>705</v>
      </c>
      <c r="D8" s="7" t="s">
        <v>66</v>
      </c>
      <c r="E8" s="10" t="s">
        <v>67</v>
      </c>
      <c r="F8" s="7" t="s">
        <v>68</v>
      </c>
      <c r="G8" s="7" t="s">
        <v>69</v>
      </c>
      <c r="H8" s="10" t="s">
        <v>70</v>
      </c>
      <c r="I8" s="7" t="s">
        <v>71</v>
      </c>
    </row>
    <row r="9" customFormat="false" ht="26.85" hidden="false" customHeight="false" outlineLevel="0" collapsed="false">
      <c r="A9" s="7" t="n">
        <v>7</v>
      </c>
      <c r="B9" s="9" t="n">
        <f aca="false">Settings!$B$5+Settings!$B$6*(A9-1)</f>
        <v>170</v>
      </c>
      <c r="C9" s="7" t="n">
        <f aca="false">C8+B9</f>
        <v>875</v>
      </c>
      <c r="D9" s="7" t="s">
        <v>72</v>
      </c>
      <c r="E9" s="10" t="s">
        <v>73</v>
      </c>
      <c r="F9" s="7" t="s">
        <v>74</v>
      </c>
      <c r="G9" s="7" t="s">
        <v>75</v>
      </c>
      <c r="H9" s="10" t="s">
        <v>76</v>
      </c>
      <c r="I9" s="7" t="s">
        <v>77</v>
      </c>
    </row>
    <row r="10" customFormat="false" ht="39.55" hidden="false" customHeight="false" outlineLevel="0" collapsed="false">
      <c r="A10" s="7" t="n">
        <v>8</v>
      </c>
      <c r="B10" s="9" t="n">
        <f aca="false">Settings!$B$5+Settings!$B$6*(A10-1)</f>
        <v>185</v>
      </c>
      <c r="C10" s="7" t="n">
        <f aca="false">C9+B10</f>
        <v>1060</v>
      </c>
      <c r="D10" s="7" t="s">
        <v>78</v>
      </c>
      <c r="E10" s="10" t="s">
        <v>79</v>
      </c>
      <c r="F10" s="7" t="s">
        <v>80</v>
      </c>
      <c r="G10" s="7" t="s">
        <v>81</v>
      </c>
      <c r="H10" s="10" t="s">
        <v>82</v>
      </c>
      <c r="I10" s="7" t="s">
        <v>83</v>
      </c>
    </row>
    <row r="11" customFormat="false" ht="39.55" hidden="false" customHeight="false" outlineLevel="0" collapsed="false">
      <c r="A11" s="7" t="n">
        <v>9</v>
      </c>
      <c r="B11" s="9" t="n">
        <f aca="false">Settings!$B$5+Settings!$B$6*(A11-1)</f>
        <v>200</v>
      </c>
      <c r="C11" s="7" t="n">
        <f aca="false">C10+B11</f>
        <v>1260</v>
      </c>
      <c r="D11" s="7" t="s">
        <v>84</v>
      </c>
      <c r="E11" s="10" t="s">
        <v>85</v>
      </c>
      <c r="F11" s="7" t="s">
        <v>86</v>
      </c>
      <c r="G11" s="7" t="s">
        <v>87</v>
      </c>
      <c r="H11" s="10" t="s">
        <v>88</v>
      </c>
      <c r="I11" s="7" t="s">
        <v>89</v>
      </c>
    </row>
    <row r="12" customFormat="false" ht="26.85" hidden="false" customHeight="false" outlineLevel="0" collapsed="false">
      <c r="A12" s="7" t="n">
        <v>10</v>
      </c>
      <c r="B12" s="9" t="n">
        <f aca="false">Settings!$B$5+Settings!$B$6*(A12-1)</f>
        <v>215</v>
      </c>
      <c r="C12" s="7" t="n">
        <f aca="false">C11+B12</f>
        <v>1475</v>
      </c>
      <c r="D12" s="7" t="s">
        <v>90</v>
      </c>
      <c r="E12" s="10" t="s">
        <v>91</v>
      </c>
      <c r="F12" s="7" t="s">
        <v>92</v>
      </c>
      <c r="G12" s="7" t="s">
        <v>93</v>
      </c>
      <c r="H12" s="10" t="s">
        <v>94</v>
      </c>
      <c r="I12" s="7" t="s">
        <v>95</v>
      </c>
    </row>
    <row r="13" customFormat="false" ht="15" hidden="false" customHeight="false" outlineLevel="0" collapsed="false">
      <c r="A13" s="6" t="s">
        <v>96</v>
      </c>
      <c r="B13" s="6" t="n">
        <f aca="false">SUM(B3:B12)</f>
        <v>1475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4" min="2" style="0" width="10"/>
  </cols>
  <sheetData>
    <row r="1" customFormat="false" ht="15" hidden="false" customHeight="false" outlineLevel="0" collapsed="false">
      <c r="A1" s="3" t="s">
        <v>97</v>
      </c>
      <c r="B1" s="3" t="s">
        <v>98</v>
      </c>
      <c r="C1" s="3" t="s">
        <v>99</v>
      </c>
      <c r="D1" s="3" t="s">
        <v>100</v>
      </c>
    </row>
    <row r="2" customFormat="false" ht="15" hidden="false" customHeight="false" outlineLevel="0" collapsed="false">
      <c r="A2" s="4" t="n">
        <v>1</v>
      </c>
      <c r="B2" s="11" t="n">
        <f aca="false">Settings!$B$8+Settings!$B$9*(A2-1)</f>
        <v>9</v>
      </c>
      <c r="C2" s="11" t="n">
        <f aca="false">Settings!$B$10+Settings!$B$11*(A2-1)</f>
        <v>22</v>
      </c>
      <c r="D2" s="11" t="n">
        <f aca="false">Settings!$B$12+Settings!$B$13*(A2-1)</f>
        <v>45</v>
      </c>
    </row>
    <row r="3" customFormat="false" ht="15" hidden="false" customHeight="false" outlineLevel="0" collapsed="false">
      <c r="A3" s="4" t="n">
        <v>2</v>
      </c>
      <c r="B3" s="11" t="n">
        <f aca="false">Settings!$B$8+Settings!$B$9*(A3-1)</f>
        <v>11</v>
      </c>
      <c r="C3" s="11" t="n">
        <f aca="false">Settings!$B$10+Settings!$B$11*(A3-1)</f>
        <v>27</v>
      </c>
      <c r="D3" s="11" t="n">
        <f aca="false">Settings!$B$12+Settings!$B$13*(A3-1)</f>
        <v>55</v>
      </c>
    </row>
    <row r="4" customFormat="false" ht="15" hidden="false" customHeight="false" outlineLevel="0" collapsed="false">
      <c r="A4" s="4" t="n">
        <v>3</v>
      </c>
      <c r="B4" s="11" t="n">
        <f aca="false">Settings!$B$8+Settings!$B$9*(A4-1)</f>
        <v>13</v>
      </c>
      <c r="C4" s="11" t="n">
        <f aca="false">Settings!$B$10+Settings!$B$11*(A4-1)</f>
        <v>32</v>
      </c>
      <c r="D4" s="11" t="n">
        <f aca="false">Settings!$B$12+Settings!$B$13*(A4-1)</f>
        <v>65</v>
      </c>
    </row>
    <row r="5" customFormat="false" ht="15" hidden="false" customHeight="false" outlineLevel="0" collapsed="false">
      <c r="A5" s="4" t="n">
        <v>4</v>
      </c>
      <c r="B5" s="11" t="n">
        <f aca="false">Settings!$B$8+Settings!$B$9*(A5-1)</f>
        <v>15</v>
      </c>
      <c r="C5" s="11" t="n">
        <f aca="false">Settings!$B$10+Settings!$B$11*(A5-1)</f>
        <v>37</v>
      </c>
      <c r="D5" s="11" t="n">
        <f aca="false">Settings!$B$12+Settings!$B$13*(A5-1)</f>
        <v>75</v>
      </c>
    </row>
    <row r="7" customFormat="false" ht="15" hidden="false" customHeight="false" outlineLevel="0" collapsed="false">
      <c r="A7" s="2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4"/>
    <col collapsed="false" customWidth="true" hidden="false" outlineLevel="0" max="4" min="4" style="0" width="26"/>
    <col collapsed="false" customWidth="true" hidden="false" outlineLevel="0" max="5" min="5" style="0" width="12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6" t="s">
        <v>102</v>
      </c>
    </row>
    <row r="3" customFormat="false" ht="26.85" hidden="false" customHeight="false" outlineLevel="0" collapsed="false">
      <c r="A3" s="3" t="s">
        <v>97</v>
      </c>
      <c r="B3" s="3" t="s">
        <v>103</v>
      </c>
      <c r="C3" s="3" t="s">
        <v>104</v>
      </c>
      <c r="D3" s="3" t="s">
        <v>105</v>
      </c>
      <c r="E3" s="3" t="s">
        <v>106</v>
      </c>
      <c r="F3" s="3" t="s">
        <v>27</v>
      </c>
    </row>
    <row r="4" customFormat="false" ht="15" hidden="false" customHeight="false" outlineLevel="0" collapsed="false">
      <c r="A4" s="4" t="n">
        <v>1</v>
      </c>
      <c r="B4" s="5" t="n">
        <v>3</v>
      </c>
      <c r="C4" s="5" t="n">
        <v>1</v>
      </c>
      <c r="D4" s="5" t="n">
        <v>1</v>
      </c>
      <c r="E4" s="4" t="n">
        <f aca="false">B4*'XP per Fight'!B2+C4*'XP per Fight'!C2+D4*'XP per Fight'!D2</f>
        <v>94</v>
      </c>
      <c r="F4" s="4" t="n">
        <f aca="false">E4</f>
        <v>94</v>
      </c>
    </row>
    <row r="5" customFormat="false" ht="15" hidden="false" customHeight="false" outlineLevel="0" collapsed="false">
      <c r="A5" s="4" t="n">
        <v>2</v>
      </c>
      <c r="B5" s="5" t="n">
        <v>3</v>
      </c>
      <c r="C5" s="5" t="n">
        <v>1</v>
      </c>
      <c r="D5" s="5" t="n">
        <v>1</v>
      </c>
      <c r="E5" s="4" t="n">
        <f aca="false">B5*'XP per Fight'!B3+C5*'XP per Fight'!C3+D5*'XP per Fight'!D3</f>
        <v>115</v>
      </c>
      <c r="F5" s="4" t="n">
        <f aca="false">F4+E5</f>
        <v>209</v>
      </c>
    </row>
    <row r="6" customFormat="false" ht="15" hidden="false" customHeight="false" outlineLevel="0" collapsed="false">
      <c r="A6" s="4" t="n">
        <v>3</v>
      </c>
      <c r="B6" s="5" t="n">
        <v>3</v>
      </c>
      <c r="C6" s="5" t="n">
        <v>1</v>
      </c>
      <c r="D6" s="5" t="n">
        <v>1</v>
      </c>
      <c r="E6" s="4" t="n">
        <f aca="false">B6*'XP per Fight'!B4+C6*'XP per Fight'!C4+D6*'XP per Fight'!D4</f>
        <v>136</v>
      </c>
      <c r="F6" s="4" t="n">
        <f aca="false">F5+E6</f>
        <v>345</v>
      </c>
    </row>
    <row r="7" customFormat="false" ht="15" hidden="false" customHeight="false" outlineLevel="0" collapsed="false">
      <c r="A7" s="4" t="n">
        <v>4</v>
      </c>
      <c r="B7" s="5" t="n">
        <v>0</v>
      </c>
      <c r="C7" s="5" t="n">
        <v>0</v>
      </c>
      <c r="D7" s="5" t="n">
        <v>1</v>
      </c>
      <c r="E7" s="4" t="n">
        <f aca="false">B7*'XP per Fight'!B5+C7*'XP per Fight'!C5+D7*'XP per Fight'!D5</f>
        <v>75</v>
      </c>
      <c r="F7" s="4" t="n">
        <f aca="false">F6+E7</f>
        <v>420</v>
      </c>
    </row>
    <row r="9" customFormat="false" ht="15" hidden="false" customHeight="false" outlineLevel="0" collapsed="false">
      <c r="A9" s="6" t="s">
        <v>107</v>
      </c>
      <c r="B9" s="6" t="s">
        <v>108</v>
      </c>
      <c r="C9" s="6" t="s">
        <v>109</v>
      </c>
    </row>
    <row r="10" customFormat="false" ht="15" hidden="false" customHeight="false" outlineLevel="0" collapsed="false">
      <c r="A10" s="4" t="s">
        <v>110</v>
      </c>
      <c r="B10" s="4" t="n">
        <f aca="false">F7</f>
        <v>420</v>
      </c>
      <c r="C10" s="4" t="n">
        <f aca="false">MIN(Settings!$B$7,COUNTIF('Unlock Levels'!$C$3:$C$12,"&lt;="&amp;B10))</f>
        <v>4</v>
      </c>
    </row>
    <row r="11" customFormat="false" ht="15" hidden="false" customHeight="false" outlineLevel="0" collapsed="false">
      <c r="A11" s="4" t="s">
        <v>111</v>
      </c>
      <c r="B11" s="4" t="n">
        <f aca="false">B4*'XP per Fight'!B2+C4*'XP per Fight'!C2</f>
        <v>49</v>
      </c>
      <c r="C11" s="4" t="n">
        <f aca="false">MIN(Settings!$B$7,COUNTIF('Unlock Levels'!$C$3:$C$12,"&lt;="&amp;B11))</f>
        <v>0</v>
      </c>
    </row>
    <row r="12" customFormat="false" ht="15" hidden="false" customHeight="false" outlineLevel="0" collapsed="false">
      <c r="A12" s="4" t="s">
        <v>112</v>
      </c>
      <c r="B12" s="4" t="n">
        <f aca="false">F4+B5*'XP per Fight'!B3+C5*'XP per Fight'!C3</f>
        <v>154</v>
      </c>
      <c r="C12" s="4" t="n">
        <f aca="false">MIN(Settings!$B$7,COUNTIF('Unlock Levels'!$C$3:$C$12,"&lt;="&amp;B12))</f>
        <v>1</v>
      </c>
    </row>
    <row r="13" customFormat="false" ht="15" hidden="false" customHeight="false" outlineLevel="0" collapsed="false">
      <c r="A13" s="4" t="s">
        <v>113</v>
      </c>
      <c r="B13" s="4" t="n">
        <f aca="false">F5+B6*'XP per Fight'!B4+C6*'XP per Fight'!C4</f>
        <v>280</v>
      </c>
      <c r="C13" s="4" t="n">
        <f aca="false">MIN(Settings!$B$7,COUNTIF('Unlock Levels'!$C$3:$C$12,"&lt;="&amp;B13))</f>
        <v>2</v>
      </c>
    </row>
    <row r="15" customFormat="false" ht="15" hidden="false" customHeight="false" outlineLevel="0" collapsed="false">
      <c r="A15" s="4" t="s">
        <v>114</v>
      </c>
      <c r="B15" s="4" t="n">
        <f aca="false">ROUNDUP('Unlock Levels'!B13/B10,1)</f>
        <v>3.6</v>
      </c>
    </row>
    <row r="16" customFormat="false" ht="15" hidden="false" customHeight="false" outlineLevel="0" collapsed="false">
      <c r="A16" s="4" t="s">
        <v>115</v>
      </c>
      <c r="B16" s="4" t="n">
        <f aca="false">ROUNDUP('Unlock Levels'!B13/B12,1)</f>
        <v>9.6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16"/>
    <col collapsed="false" customWidth="true" hidden="false" outlineLevel="0" max="4" min="4" style="0" width="36"/>
    <col collapsed="false" customWidth="true" hidden="false" outlineLevel="0" max="5" min="5" style="0" width="8"/>
    <col collapsed="false" customWidth="true" hidden="false" outlineLevel="0" max="6" min="6" style="0" width="28"/>
    <col collapsed="false" customWidth="true" hidden="false" outlineLevel="0" max="7" min="7" style="0" width="20"/>
    <col collapsed="false" customWidth="true" hidden="false" outlineLevel="0" max="8" min="8" style="0" width="36"/>
  </cols>
  <sheetData>
    <row r="1" customFormat="false" ht="26.85" hidden="false" customHeight="false" outlineLevel="0" collapsed="false">
      <c r="A1" s="3" t="s">
        <v>116</v>
      </c>
      <c r="B1" s="3" t="s">
        <v>117</v>
      </c>
      <c r="C1" s="3" t="s">
        <v>118</v>
      </c>
      <c r="D1" s="3" t="s">
        <v>119</v>
      </c>
      <c r="E1" s="3" t="s">
        <v>120</v>
      </c>
      <c r="F1" s="3" t="s">
        <v>121</v>
      </c>
      <c r="G1" s="3" t="s">
        <v>122</v>
      </c>
      <c r="H1" s="3" t="s">
        <v>123</v>
      </c>
    </row>
    <row r="2" customFormat="false" ht="15" hidden="false" customHeight="false" outlineLevel="0" collapsed="false">
      <c r="A2" s="7" t="n">
        <v>1</v>
      </c>
      <c r="B2" s="7" t="s">
        <v>124</v>
      </c>
      <c r="C2" s="7" t="s">
        <v>125</v>
      </c>
      <c r="D2" s="7" t="s">
        <v>126</v>
      </c>
      <c r="E2" s="7" t="n">
        <v>70</v>
      </c>
      <c r="F2" s="7" t="s">
        <v>127</v>
      </c>
      <c r="G2" s="7" t="s">
        <v>128</v>
      </c>
      <c r="H2" s="7" t="s">
        <v>129</v>
      </c>
    </row>
    <row r="3" customFormat="false" ht="26.85" hidden="false" customHeight="false" outlineLevel="0" collapsed="false">
      <c r="A3" s="7" t="n">
        <v>2</v>
      </c>
      <c r="B3" s="7" t="s">
        <v>130</v>
      </c>
      <c r="C3" s="7" t="s">
        <v>131</v>
      </c>
      <c r="D3" s="7" t="s">
        <v>132</v>
      </c>
      <c r="E3" s="7" t="n">
        <v>88</v>
      </c>
      <c r="F3" s="7" t="s">
        <v>133</v>
      </c>
      <c r="G3" s="7" t="s">
        <v>134</v>
      </c>
      <c r="H3" s="7" t="s">
        <v>132</v>
      </c>
    </row>
    <row r="4" customFormat="false" ht="26.85" hidden="false" customHeight="false" outlineLevel="0" collapsed="false">
      <c r="A4" s="7" t="n">
        <v>3</v>
      </c>
      <c r="B4" s="7" t="s">
        <v>135</v>
      </c>
      <c r="C4" s="7" t="s">
        <v>136</v>
      </c>
      <c r="D4" s="7" t="s">
        <v>137</v>
      </c>
      <c r="E4" s="7" t="n">
        <v>60</v>
      </c>
      <c r="F4" s="7" t="s">
        <v>138</v>
      </c>
      <c r="G4" s="7" t="s">
        <v>139</v>
      </c>
      <c r="H4" s="7" t="s">
        <v>137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2"/>
    <col collapsed="false" customWidth="true" hidden="false" outlineLevel="0" max="4" min="4" style="0" width="28"/>
    <col collapsed="false" customWidth="true" hidden="false" outlineLevel="0" max="5" min="5" style="0" width="70"/>
  </cols>
  <sheetData>
    <row r="1" customFormat="false" ht="15" hidden="false" customHeight="false" outlineLevel="0" collapsed="false">
      <c r="A1" s="3" t="s">
        <v>140</v>
      </c>
      <c r="B1" s="3" t="s">
        <v>141</v>
      </c>
      <c r="C1" s="3" t="s">
        <v>142</v>
      </c>
      <c r="D1" s="3" t="s">
        <v>143</v>
      </c>
      <c r="E1" s="3" t="s">
        <v>144</v>
      </c>
    </row>
    <row r="2" customFormat="false" ht="26.85" hidden="false" customHeight="false" outlineLevel="0" collapsed="false">
      <c r="A2" s="7" t="s">
        <v>29</v>
      </c>
      <c r="B2" s="7" t="s">
        <v>145</v>
      </c>
      <c r="C2" s="7" t="s">
        <v>134</v>
      </c>
      <c r="D2" s="7" t="s">
        <v>146</v>
      </c>
      <c r="E2" s="7" t="s">
        <v>147</v>
      </c>
    </row>
    <row r="3" customFormat="false" ht="26.85" hidden="false" customHeight="false" outlineLevel="0" collapsed="false">
      <c r="A3" s="7" t="s">
        <v>29</v>
      </c>
      <c r="B3" s="7" t="s">
        <v>148</v>
      </c>
      <c r="C3" s="7" t="s">
        <v>128</v>
      </c>
      <c r="D3" s="7" t="s">
        <v>146</v>
      </c>
      <c r="E3" s="7" t="s">
        <v>149</v>
      </c>
    </row>
    <row r="4" customFormat="false" ht="26.85" hidden="false" customHeight="false" outlineLevel="0" collapsed="false">
      <c r="A4" s="7" t="s">
        <v>29</v>
      </c>
      <c r="B4" s="7" t="s">
        <v>150</v>
      </c>
      <c r="C4" s="7" t="s">
        <v>139</v>
      </c>
      <c r="D4" s="7" t="s">
        <v>146</v>
      </c>
      <c r="E4" s="7" t="s">
        <v>151</v>
      </c>
    </row>
    <row r="5" customFormat="false" ht="15" hidden="false" customHeight="false" outlineLevel="0" collapsed="false">
      <c r="A5" s="7" t="s">
        <v>29</v>
      </c>
      <c r="B5" s="7" t="s">
        <v>152</v>
      </c>
      <c r="C5" s="7" t="s">
        <v>153</v>
      </c>
      <c r="D5" s="7" t="s">
        <v>154</v>
      </c>
      <c r="E5" s="7" t="s">
        <v>155</v>
      </c>
    </row>
    <row r="6" customFormat="false" ht="15" hidden="false" customHeight="false" outlineLevel="0" collapsed="false">
      <c r="A6" s="7" t="s">
        <v>29</v>
      </c>
      <c r="B6" s="7" t="s">
        <v>156</v>
      </c>
      <c r="C6" s="7" t="s">
        <v>157</v>
      </c>
      <c r="D6" s="7" t="s">
        <v>154</v>
      </c>
      <c r="E6" s="7" t="s">
        <v>158</v>
      </c>
    </row>
    <row r="7" customFormat="false" ht="15" hidden="false" customHeight="false" outlineLevel="0" collapsed="false">
      <c r="A7" s="7" t="s">
        <v>29</v>
      </c>
      <c r="B7" s="7" t="s">
        <v>159</v>
      </c>
      <c r="C7" s="7" t="s">
        <v>160</v>
      </c>
      <c r="D7" s="7" t="s">
        <v>154</v>
      </c>
      <c r="E7" s="7" t="s">
        <v>161</v>
      </c>
    </row>
    <row r="8" customFormat="false" ht="15" hidden="false" customHeight="false" outlineLevel="0" collapsed="false">
      <c r="A8" s="7" t="s">
        <v>29</v>
      </c>
      <c r="B8" s="7" t="s">
        <v>162</v>
      </c>
      <c r="C8" s="7" t="s">
        <v>163</v>
      </c>
      <c r="D8" s="7" t="s">
        <v>154</v>
      </c>
      <c r="E8" s="7" t="s">
        <v>164</v>
      </c>
    </row>
    <row r="9" customFormat="false" ht="15" hidden="false" customHeight="false" outlineLevel="0" collapsed="false">
      <c r="A9" s="7" t="s">
        <v>29</v>
      </c>
      <c r="B9" s="7" t="s">
        <v>165</v>
      </c>
      <c r="C9" s="7" t="s">
        <v>166</v>
      </c>
      <c r="D9" s="7" t="s">
        <v>154</v>
      </c>
      <c r="E9" s="7" t="s">
        <v>167</v>
      </c>
    </row>
    <row r="10" customFormat="false" ht="15" hidden="false" customHeight="false" outlineLevel="0" collapsed="false">
      <c r="A10" s="7" t="s">
        <v>29</v>
      </c>
      <c r="B10" s="7" t="s">
        <v>168</v>
      </c>
      <c r="C10" s="7" t="s">
        <v>169</v>
      </c>
      <c r="D10" s="7" t="s">
        <v>154</v>
      </c>
      <c r="E10" s="7" t="s">
        <v>170</v>
      </c>
    </row>
    <row r="11" customFormat="false" ht="15" hidden="false" customHeight="false" outlineLevel="0" collapsed="false">
      <c r="A11" s="7" t="s">
        <v>29</v>
      </c>
      <c r="B11" s="7" t="s">
        <v>171</v>
      </c>
      <c r="C11" s="7" t="s">
        <v>172</v>
      </c>
      <c r="D11" s="7" t="s">
        <v>154</v>
      </c>
      <c r="E11" s="7" t="s">
        <v>173</v>
      </c>
    </row>
    <row r="12" customFormat="false" ht="15" hidden="false" customHeight="false" outlineLevel="0" collapsed="false">
      <c r="A12" s="7" t="s">
        <v>29</v>
      </c>
      <c r="B12" s="7" t="s">
        <v>174</v>
      </c>
      <c r="C12" s="7" t="s">
        <v>175</v>
      </c>
      <c r="D12" s="7" t="s">
        <v>154</v>
      </c>
      <c r="E12" s="7" t="s">
        <v>176</v>
      </c>
    </row>
    <row r="13" customFormat="false" ht="15" hidden="false" customHeight="false" outlineLevel="0" collapsed="false">
      <c r="A13" s="7" t="s">
        <v>29</v>
      </c>
      <c r="B13" s="7" t="s">
        <v>177</v>
      </c>
      <c r="C13" s="7" t="s">
        <v>178</v>
      </c>
      <c r="D13" s="7" t="s">
        <v>154</v>
      </c>
      <c r="E13" s="7" t="s">
        <v>179</v>
      </c>
    </row>
    <row r="14" customFormat="false" ht="15" hidden="false" customHeight="false" outlineLevel="0" collapsed="false">
      <c r="A14" s="7" t="s">
        <v>29</v>
      </c>
      <c r="B14" s="7" t="s">
        <v>180</v>
      </c>
      <c r="C14" s="7" t="s">
        <v>181</v>
      </c>
      <c r="D14" s="7" t="s">
        <v>154</v>
      </c>
      <c r="E14" s="7" t="s">
        <v>182</v>
      </c>
    </row>
    <row r="15" customFormat="false" ht="15" hidden="false" customHeight="false" outlineLevel="0" collapsed="false">
      <c r="A15" s="7" t="s">
        <v>29</v>
      </c>
      <c r="B15" s="7" t="s">
        <v>183</v>
      </c>
      <c r="C15" s="7" t="s">
        <v>184</v>
      </c>
      <c r="D15" s="7" t="s">
        <v>154</v>
      </c>
      <c r="E15" s="7" t="s">
        <v>185</v>
      </c>
    </row>
    <row r="16" customFormat="false" ht="15" hidden="false" customHeight="false" outlineLevel="0" collapsed="false">
      <c r="A16" s="7" t="s">
        <v>29</v>
      </c>
      <c r="B16" s="7" t="s">
        <v>186</v>
      </c>
      <c r="C16" s="7" t="s">
        <v>187</v>
      </c>
      <c r="D16" s="7" t="s">
        <v>154</v>
      </c>
      <c r="E16" s="7" t="s">
        <v>188</v>
      </c>
    </row>
    <row r="17" customFormat="false" ht="26.85" hidden="false" customHeight="false" outlineLevel="0" collapsed="false">
      <c r="A17" s="7" t="s">
        <v>29</v>
      </c>
      <c r="B17" s="7" t="s">
        <v>189</v>
      </c>
      <c r="C17" s="7" t="s">
        <v>190</v>
      </c>
      <c r="D17" s="7" t="s">
        <v>154</v>
      </c>
      <c r="E17" s="7" t="s">
        <v>191</v>
      </c>
    </row>
    <row r="18" customFormat="false" ht="15" hidden="false" customHeight="false" outlineLevel="0" collapsed="false">
      <c r="A18" s="7" t="s">
        <v>29</v>
      </c>
      <c r="B18" s="7" t="s">
        <v>192</v>
      </c>
      <c r="C18" s="7" t="s">
        <v>193</v>
      </c>
      <c r="D18" s="7" t="s">
        <v>154</v>
      </c>
      <c r="E18" s="7" t="s">
        <v>194</v>
      </c>
    </row>
    <row r="19" customFormat="false" ht="15" hidden="false" customHeight="false" outlineLevel="0" collapsed="false">
      <c r="A19" s="7" t="s">
        <v>29</v>
      </c>
      <c r="B19" s="7" t="s">
        <v>195</v>
      </c>
      <c r="C19" s="7" t="s">
        <v>196</v>
      </c>
      <c r="D19" s="7" t="s">
        <v>154</v>
      </c>
      <c r="E19" s="7" t="s">
        <v>197</v>
      </c>
    </row>
    <row r="20" customFormat="false" ht="15" hidden="false" customHeight="false" outlineLevel="0" collapsed="false">
      <c r="A20" s="7" t="s">
        <v>29</v>
      </c>
      <c r="B20" s="7" t="s">
        <v>198</v>
      </c>
      <c r="C20" s="7" t="s">
        <v>199</v>
      </c>
      <c r="D20" s="7" t="s">
        <v>154</v>
      </c>
      <c r="E20" s="7" t="s">
        <v>200</v>
      </c>
    </row>
    <row r="21" customFormat="false" ht="15" hidden="false" customHeight="false" outlineLevel="0" collapsed="false">
      <c r="A21" s="7" t="s">
        <v>29</v>
      </c>
      <c r="B21" s="7" t="s">
        <v>201</v>
      </c>
      <c r="C21" s="7" t="s">
        <v>202</v>
      </c>
      <c r="D21" s="7" t="s">
        <v>154</v>
      </c>
      <c r="E21" s="7" t="s">
        <v>203</v>
      </c>
    </row>
    <row r="22" customFormat="false" ht="15" hidden="false" customHeight="false" outlineLevel="0" collapsed="false">
      <c r="A22" s="7" t="s">
        <v>29</v>
      </c>
      <c r="B22" s="7" t="s">
        <v>204</v>
      </c>
      <c r="C22" s="7" t="s">
        <v>205</v>
      </c>
      <c r="D22" s="7" t="s">
        <v>154</v>
      </c>
      <c r="E22" s="7" t="s">
        <v>206</v>
      </c>
    </row>
    <row r="23" customFormat="false" ht="15" hidden="false" customHeight="false" outlineLevel="0" collapsed="false">
      <c r="A23" s="7" t="s">
        <v>29</v>
      </c>
      <c r="B23" s="7" t="s">
        <v>207</v>
      </c>
      <c r="C23" s="7" t="s">
        <v>208</v>
      </c>
      <c r="D23" s="7" t="s">
        <v>154</v>
      </c>
      <c r="E23" s="7" t="s">
        <v>209</v>
      </c>
    </row>
    <row r="24" customFormat="false" ht="15" hidden="false" customHeight="false" outlineLevel="0" collapsed="false">
      <c r="A24" s="7" t="s">
        <v>29</v>
      </c>
      <c r="B24" s="7" t="s">
        <v>210</v>
      </c>
      <c r="C24" s="7" t="s">
        <v>211</v>
      </c>
      <c r="D24" s="7" t="s">
        <v>154</v>
      </c>
      <c r="E24" s="7" t="s">
        <v>212</v>
      </c>
    </row>
    <row r="25" customFormat="false" ht="15" hidden="false" customHeight="false" outlineLevel="0" collapsed="false">
      <c r="A25" s="7" t="s">
        <v>29</v>
      </c>
      <c r="B25" s="7" t="s">
        <v>213</v>
      </c>
      <c r="C25" s="7" t="s">
        <v>214</v>
      </c>
      <c r="D25" s="7" t="s">
        <v>154</v>
      </c>
      <c r="E25" s="7" t="s">
        <v>215</v>
      </c>
    </row>
    <row r="26" customFormat="false" ht="15" hidden="false" customHeight="false" outlineLevel="0" collapsed="false">
      <c r="A26" s="7" t="s">
        <v>29</v>
      </c>
      <c r="B26" s="7" t="s">
        <v>216</v>
      </c>
      <c r="C26" s="7" t="s">
        <v>217</v>
      </c>
      <c r="D26" s="7" t="s">
        <v>154</v>
      </c>
      <c r="E26" s="7" t="s">
        <v>218</v>
      </c>
    </row>
    <row r="27" customFormat="false" ht="15" hidden="false" customHeight="false" outlineLevel="0" collapsed="false">
      <c r="A27" s="7" t="s">
        <v>29</v>
      </c>
      <c r="B27" s="7" t="s">
        <v>219</v>
      </c>
      <c r="C27" s="7" t="s">
        <v>220</v>
      </c>
      <c r="D27" s="7" t="s">
        <v>154</v>
      </c>
      <c r="E27" s="7" t="s">
        <v>221</v>
      </c>
    </row>
    <row r="28" customFormat="false" ht="15" hidden="false" customHeight="false" outlineLevel="0" collapsed="false">
      <c r="A28" s="7" t="s">
        <v>29</v>
      </c>
      <c r="B28" s="7" t="s">
        <v>222</v>
      </c>
      <c r="C28" s="7" t="s">
        <v>223</v>
      </c>
      <c r="D28" s="7" t="s">
        <v>154</v>
      </c>
      <c r="E28" s="7" t="s">
        <v>224</v>
      </c>
    </row>
    <row r="29" customFormat="false" ht="15" hidden="false" customHeight="false" outlineLevel="0" collapsed="false">
      <c r="A29" s="7" t="s">
        <v>29</v>
      </c>
      <c r="B29" s="7" t="s">
        <v>225</v>
      </c>
      <c r="C29" s="7" t="s">
        <v>226</v>
      </c>
      <c r="D29" s="7" t="s">
        <v>154</v>
      </c>
      <c r="E29" s="7" t="s">
        <v>227</v>
      </c>
    </row>
    <row r="30" customFormat="false" ht="15" hidden="false" customHeight="false" outlineLevel="0" collapsed="false">
      <c r="A30" s="7" t="s">
        <v>29</v>
      </c>
      <c r="B30" s="7" t="s">
        <v>228</v>
      </c>
      <c r="C30" s="7" t="s">
        <v>229</v>
      </c>
      <c r="D30" s="7" t="s">
        <v>230</v>
      </c>
      <c r="E30" s="7" t="s">
        <v>231</v>
      </c>
    </row>
    <row r="31" customFormat="false" ht="15" hidden="false" customHeight="false" outlineLevel="0" collapsed="false">
      <c r="A31" s="7" t="s">
        <v>29</v>
      </c>
      <c r="B31" s="7" t="s">
        <v>232</v>
      </c>
      <c r="C31" s="7" t="s">
        <v>233</v>
      </c>
      <c r="D31" s="7" t="s">
        <v>230</v>
      </c>
      <c r="E31" s="7" t="s">
        <v>234</v>
      </c>
    </row>
    <row r="32" customFormat="false" ht="15" hidden="false" customHeight="false" outlineLevel="0" collapsed="false">
      <c r="A32" s="7" t="s">
        <v>29</v>
      </c>
      <c r="B32" s="7" t="s">
        <v>235</v>
      </c>
      <c r="C32" s="7" t="s">
        <v>236</v>
      </c>
      <c r="D32" s="7" t="s">
        <v>230</v>
      </c>
      <c r="E32" s="7" t="s">
        <v>237</v>
      </c>
    </row>
    <row r="33" customFormat="false" ht="26.85" hidden="false" customHeight="false" outlineLevel="0" collapsed="false">
      <c r="A33" s="7" t="s">
        <v>29</v>
      </c>
      <c r="B33" s="7" t="s">
        <v>238</v>
      </c>
      <c r="C33" s="7" t="s">
        <v>239</v>
      </c>
      <c r="D33" s="7" t="s">
        <v>230</v>
      </c>
      <c r="E33" s="7" t="s">
        <v>240</v>
      </c>
    </row>
    <row r="34" customFormat="false" ht="15" hidden="false" customHeight="false" outlineLevel="0" collapsed="false">
      <c r="A34" s="7" t="s">
        <v>29</v>
      </c>
      <c r="B34" s="7" t="s">
        <v>241</v>
      </c>
      <c r="C34" s="7" t="s">
        <v>242</v>
      </c>
      <c r="D34" s="7" t="s">
        <v>230</v>
      </c>
      <c r="E34" s="7" t="s">
        <v>243</v>
      </c>
    </row>
    <row r="35" customFormat="false" ht="15" hidden="false" customHeight="false" outlineLevel="0" collapsed="false">
      <c r="A35" s="7" t="s">
        <v>29</v>
      </c>
      <c r="B35" s="7" t="s">
        <v>244</v>
      </c>
      <c r="C35" s="7" t="s">
        <v>245</v>
      </c>
      <c r="D35" s="7" t="s">
        <v>230</v>
      </c>
      <c r="E35" s="7" t="s">
        <v>246</v>
      </c>
    </row>
    <row r="36" customFormat="false" ht="15" hidden="false" customHeight="false" outlineLevel="0" collapsed="false">
      <c r="A36" s="7" t="s">
        <v>29</v>
      </c>
      <c r="B36" s="7" t="s">
        <v>247</v>
      </c>
      <c r="C36" s="7" t="s">
        <v>248</v>
      </c>
      <c r="D36" s="7" t="s">
        <v>230</v>
      </c>
      <c r="E36" s="7" t="s">
        <v>249</v>
      </c>
    </row>
    <row r="37" customFormat="false" ht="15" hidden="false" customHeight="false" outlineLevel="0" collapsed="false">
      <c r="A37" s="7" t="s">
        <v>29</v>
      </c>
      <c r="B37" s="7" t="s">
        <v>250</v>
      </c>
      <c r="C37" s="7" t="s">
        <v>251</v>
      </c>
      <c r="D37" s="7" t="s">
        <v>230</v>
      </c>
      <c r="E37" s="7" t="s">
        <v>252</v>
      </c>
    </row>
    <row r="38" customFormat="false" ht="15" hidden="false" customHeight="false" outlineLevel="0" collapsed="false">
      <c r="A38" s="7" t="s">
        <v>29</v>
      </c>
      <c r="B38" s="7" t="s">
        <v>253</v>
      </c>
      <c r="C38" s="7" t="s">
        <v>254</v>
      </c>
      <c r="D38" s="7" t="s">
        <v>230</v>
      </c>
      <c r="E38" s="7" t="s">
        <v>255</v>
      </c>
    </row>
    <row r="39" customFormat="false" ht="15" hidden="false" customHeight="false" outlineLevel="0" collapsed="false">
      <c r="A39" s="7" t="s">
        <v>29</v>
      </c>
      <c r="B39" s="7" t="s">
        <v>256</v>
      </c>
      <c r="C39" s="7" t="s">
        <v>257</v>
      </c>
      <c r="D39" s="7" t="s">
        <v>230</v>
      </c>
      <c r="E39" s="7" t="s">
        <v>258</v>
      </c>
    </row>
    <row r="40" customFormat="false" ht="15" hidden="false" customHeight="false" outlineLevel="0" collapsed="false">
      <c r="A40" s="7" t="s">
        <v>29</v>
      </c>
      <c r="B40" s="7" t="s">
        <v>259</v>
      </c>
      <c r="C40" s="7" t="s">
        <v>260</v>
      </c>
      <c r="D40" s="7" t="s">
        <v>230</v>
      </c>
      <c r="E40" s="7" t="s">
        <v>261</v>
      </c>
    </row>
    <row r="41" customFormat="false" ht="15" hidden="false" customHeight="false" outlineLevel="0" collapsed="false">
      <c r="A41" s="7" t="s">
        <v>29</v>
      </c>
      <c r="B41" s="7" t="s">
        <v>262</v>
      </c>
      <c r="C41" s="7" t="s">
        <v>263</v>
      </c>
      <c r="D41" s="7" t="s">
        <v>230</v>
      </c>
      <c r="E41" s="7" t="s">
        <v>264</v>
      </c>
    </row>
    <row r="42" customFormat="false" ht="15" hidden="false" customHeight="false" outlineLevel="0" collapsed="false">
      <c r="A42" s="7" t="s">
        <v>29</v>
      </c>
      <c r="B42" s="7" t="s">
        <v>265</v>
      </c>
      <c r="C42" s="7" t="s">
        <v>266</v>
      </c>
      <c r="D42" s="7" t="s">
        <v>230</v>
      </c>
      <c r="E42" s="7" t="s">
        <v>267</v>
      </c>
    </row>
    <row r="43" customFormat="false" ht="15" hidden="false" customHeight="false" outlineLevel="0" collapsed="false">
      <c r="A43" s="7" t="s">
        <v>29</v>
      </c>
      <c r="B43" s="7" t="s">
        <v>268</v>
      </c>
      <c r="C43" s="7" t="s">
        <v>269</v>
      </c>
      <c r="D43" s="7" t="s">
        <v>230</v>
      </c>
      <c r="E43" s="7" t="s">
        <v>270</v>
      </c>
    </row>
    <row r="44" customFormat="false" ht="15" hidden="false" customHeight="false" outlineLevel="0" collapsed="false">
      <c r="A44" s="7" t="s">
        <v>29</v>
      </c>
      <c r="B44" s="7" t="s">
        <v>271</v>
      </c>
      <c r="C44" s="7" t="s">
        <v>272</v>
      </c>
      <c r="D44" s="7" t="s">
        <v>230</v>
      </c>
      <c r="E44" s="7" t="s">
        <v>273</v>
      </c>
    </row>
    <row r="45" customFormat="false" ht="15" hidden="false" customHeight="false" outlineLevel="0" collapsed="false">
      <c r="A45" s="7" t="s">
        <v>29</v>
      </c>
      <c r="B45" s="7" t="s">
        <v>274</v>
      </c>
      <c r="C45" s="7" t="s">
        <v>275</v>
      </c>
      <c r="D45" s="7" t="s">
        <v>230</v>
      </c>
      <c r="E45" s="7" t="s">
        <v>276</v>
      </c>
    </row>
    <row r="46" customFormat="false" ht="15" hidden="false" customHeight="false" outlineLevel="0" collapsed="false">
      <c r="A46" s="7" t="s">
        <v>29</v>
      </c>
      <c r="B46" s="7" t="s">
        <v>277</v>
      </c>
      <c r="C46" s="7" t="s">
        <v>278</v>
      </c>
      <c r="D46" s="7" t="s">
        <v>230</v>
      </c>
      <c r="E46" s="7" t="s">
        <v>279</v>
      </c>
    </row>
    <row r="47" customFormat="false" ht="15" hidden="false" customHeight="false" outlineLevel="0" collapsed="false">
      <c r="A47" s="7" t="s">
        <v>29</v>
      </c>
      <c r="B47" s="7" t="s">
        <v>280</v>
      </c>
      <c r="C47" s="7" t="s">
        <v>281</v>
      </c>
      <c r="D47" s="7" t="s">
        <v>230</v>
      </c>
      <c r="E47" s="7" t="s">
        <v>282</v>
      </c>
    </row>
    <row r="48" customFormat="false" ht="15" hidden="false" customHeight="false" outlineLevel="0" collapsed="false">
      <c r="A48" s="7" t="s">
        <v>29</v>
      </c>
      <c r="B48" s="7" t="s">
        <v>283</v>
      </c>
      <c r="C48" s="7" t="s">
        <v>284</v>
      </c>
      <c r="D48" s="7" t="s">
        <v>230</v>
      </c>
      <c r="E48" s="7" t="s">
        <v>285</v>
      </c>
    </row>
    <row r="49" customFormat="false" ht="15" hidden="false" customHeight="false" outlineLevel="0" collapsed="false">
      <c r="A49" s="7" t="s">
        <v>29</v>
      </c>
      <c r="B49" s="7" t="s">
        <v>286</v>
      </c>
      <c r="C49" s="7" t="s">
        <v>287</v>
      </c>
      <c r="D49" s="7" t="s">
        <v>230</v>
      </c>
      <c r="E49" s="7" t="s">
        <v>288</v>
      </c>
    </row>
    <row r="50" customFormat="false" ht="15" hidden="false" customHeight="false" outlineLevel="0" collapsed="false">
      <c r="A50" s="7" t="s">
        <v>29</v>
      </c>
      <c r="B50" s="7" t="s">
        <v>289</v>
      </c>
      <c r="C50" s="7" t="s">
        <v>290</v>
      </c>
      <c r="D50" s="7" t="s">
        <v>230</v>
      </c>
      <c r="E50" s="7" t="s">
        <v>291</v>
      </c>
    </row>
    <row r="51" customFormat="false" ht="15" hidden="false" customHeight="false" outlineLevel="0" collapsed="false">
      <c r="A51" s="7" t="s">
        <v>29</v>
      </c>
      <c r="B51" s="7" t="s">
        <v>292</v>
      </c>
      <c r="C51" s="7" t="s">
        <v>293</v>
      </c>
      <c r="D51" s="7" t="s">
        <v>230</v>
      </c>
      <c r="E51" s="7" t="s">
        <v>294</v>
      </c>
    </row>
    <row r="52" customFormat="false" ht="15" hidden="false" customHeight="false" outlineLevel="0" collapsed="false">
      <c r="A52" s="7" t="s">
        <v>29</v>
      </c>
      <c r="B52" s="7" t="s">
        <v>295</v>
      </c>
      <c r="C52" s="7" t="s">
        <v>296</v>
      </c>
      <c r="D52" s="7" t="s">
        <v>230</v>
      </c>
      <c r="E52" s="7" t="s">
        <v>297</v>
      </c>
    </row>
    <row r="53" customFormat="false" ht="15" hidden="false" customHeight="false" outlineLevel="0" collapsed="false">
      <c r="A53" s="7" t="s">
        <v>29</v>
      </c>
      <c r="B53" s="7" t="s">
        <v>298</v>
      </c>
      <c r="C53" s="7" t="s">
        <v>299</v>
      </c>
      <c r="D53" s="7" t="s">
        <v>230</v>
      </c>
      <c r="E53" s="7" t="s">
        <v>300</v>
      </c>
    </row>
    <row r="54" customFormat="false" ht="15" hidden="false" customHeight="false" outlineLevel="0" collapsed="false">
      <c r="A54" s="7" t="s">
        <v>29</v>
      </c>
      <c r="B54" s="7" t="s">
        <v>301</v>
      </c>
      <c r="C54" s="7" t="s">
        <v>302</v>
      </c>
      <c r="D54" s="7" t="s">
        <v>303</v>
      </c>
      <c r="E54" s="7" t="s">
        <v>304</v>
      </c>
    </row>
    <row r="55" customFormat="false" ht="26.85" hidden="false" customHeight="false" outlineLevel="0" collapsed="false">
      <c r="A55" s="7" t="s">
        <v>29</v>
      </c>
      <c r="B55" s="7" t="s">
        <v>305</v>
      </c>
      <c r="C55" s="7" t="s">
        <v>306</v>
      </c>
      <c r="D55" s="7" t="s">
        <v>303</v>
      </c>
      <c r="E55" s="7" t="s">
        <v>307</v>
      </c>
    </row>
    <row r="56" customFormat="false" ht="26.85" hidden="false" customHeight="false" outlineLevel="0" collapsed="false">
      <c r="A56" s="7" t="s">
        <v>29</v>
      </c>
      <c r="B56" s="7" t="s">
        <v>308</v>
      </c>
      <c r="C56" s="7" t="s">
        <v>309</v>
      </c>
      <c r="D56" s="7" t="s">
        <v>303</v>
      </c>
      <c r="E56" s="7" t="s">
        <v>310</v>
      </c>
    </row>
    <row r="57" customFormat="false" ht="26.85" hidden="false" customHeight="false" outlineLevel="0" collapsed="false">
      <c r="A57" s="7" t="s">
        <v>29</v>
      </c>
      <c r="B57" s="7" t="s">
        <v>311</v>
      </c>
      <c r="C57" s="7" t="s">
        <v>312</v>
      </c>
      <c r="D57" s="7" t="s">
        <v>313</v>
      </c>
      <c r="E57" s="7" t="s">
        <v>314</v>
      </c>
    </row>
    <row r="58" customFormat="false" ht="15" hidden="false" customHeight="false" outlineLevel="0" collapsed="false">
      <c r="A58" s="7" t="s">
        <v>29</v>
      </c>
      <c r="B58" s="7" t="s">
        <v>315</v>
      </c>
      <c r="C58" s="7" t="s">
        <v>316</v>
      </c>
      <c r="D58" s="7" t="s">
        <v>313</v>
      </c>
      <c r="E58" s="7" t="s">
        <v>317</v>
      </c>
    </row>
    <row r="59" customFormat="false" ht="26.85" hidden="false" customHeight="false" outlineLevel="0" collapsed="false">
      <c r="A59" s="7" t="s">
        <v>29</v>
      </c>
      <c r="B59" s="7" t="s">
        <v>318</v>
      </c>
      <c r="C59" s="7" t="s">
        <v>319</v>
      </c>
      <c r="D59" s="7" t="s">
        <v>313</v>
      </c>
      <c r="E59" s="7" t="s">
        <v>320</v>
      </c>
    </row>
    <row r="60" customFormat="false" ht="15" hidden="false" customHeight="false" outlineLevel="0" collapsed="false">
      <c r="A60" s="7" t="s">
        <v>29</v>
      </c>
      <c r="B60" s="7" t="s">
        <v>321</v>
      </c>
      <c r="C60" s="7" t="s">
        <v>322</v>
      </c>
      <c r="D60" s="7" t="s">
        <v>313</v>
      </c>
      <c r="E60" s="7" t="s">
        <v>323</v>
      </c>
    </row>
    <row r="61" customFormat="false" ht="26.85" hidden="false" customHeight="false" outlineLevel="0" collapsed="false">
      <c r="A61" s="7" t="s">
        <v>29</v>
      </c>
      <c r="B61" s="7" t="s">
        <v>324</v>
      </c>
      <c r="C61" s="7" t="s">
        <v>325</v>
      </c>
      <c r="D61" s="7" t="s">
        <v>313</v>
      </c>
      <c r="E61" s="7" t="s">
        <v>326</v>
      </c>
    </row>
    <row r="62" customFormat="false" ht="26.85" hidden="false" customHeight="false" outlineLevel="0" collapsed="false">
      <c r="A62" s="7" t="s">
        <v>29</v>
      </c>
      <c r="B62" s="7" t="s">
        <v>327</v>
      </c>
      <c r="C62" s="7" t="s">
        <v>328</v>
      </c>
      <c r="D62" s="7" t="s">
        <v>313</v>
      </c>
      <c r="E62" s="7" t="s">
        <v>329</v>
      </c>
    </row>
    <row r="63" customFormat="false" ht="26.85" hidden="false" customHeight="false" outlineLevel="0" collapsed="false">
      <c r="A63" s="12" t="s">
        <v>32</v>
      </c>
      <c r="B63" s="12" t="s">
        <v>330</v>
      </c>
      <c r="C63" s="12" t="s">
        <v>331</v>
      </c>
      <c r="D63" s="12" t="s">
        <v>332</v>
      </c>
      <c r="E63" s="12" t="s">
        <v>333</v>
      </c>
    </row>
    <row r="64" customFormat="false" ht="26.85" hidden="false" customHeight="false" outlineLevel="0" collapsed="false">
      <c r="A64" s="12" t="s">
        <v>32</v>
      </c>
      <c r="B64" s="12" t="s">
        <v>334</v>
      </c>
      <c r="C64" s="12" t="s">
        <v>335</v>
      </c>
      <c r="D64" s="12" t="s">
        <v>336</v>
      </c>
      <c r="E64" s="12" t="s">
        <v>337</v>
      </c>
    </row>
    <row r="65" customFormat="false" ht="26.85" hidden="false" customHeight="false" outlineLevel="0" collapsed="false">
      <c r="A65" s="12" t="s">
        <v>32</v>
      </c>
      <c r="B65" s="12" t="s">
        <v>338</v>
      </c>
      <c r="C65" s="12" t="s">
        <v>339</v>
      </c>
      <c r="D65" s="12" t="s">
        <v>336</v>
      </c>
      <c r="E65" s="12" t="s">
        <v>340</v>
      </c>
    </row>
    <row r="66" customFormat="false" ht="26.85" hidden="false" customHeight="false" outlineLevel="0" collapsed="false">
      <c r="A66" s="12" t="s">
        <v>32</v>
      </c>
      <c r="B66" s="12" t="s">
        <v>341</v>
      </c>
      <c r="C66" s="12" t="s">
        <v>342</v>
      </c>
      <c r="D66" s="12" t="s">
        <v>336</v>
      </c>
      <c r="E66" s="12" t="s">
        <v>343</v>
      </c>
    </row>
    <row r="67" customFormat="false" ht="26.85" hidden="false" customHeight="false" outlineLevel="0" collapsed="false">
      <c r="A67" s="12" t="s">
        <v>32</v>
      </c>
      <c r="B67" s="12" t="s">
        <v>344</v>
      </c>
      <c r="C67" s="12" t="s">
        <v>345</v>
      </c>
      <c r="D67" s="12" t="s">
        <v>336</v>
      </c>
      <c r="E67" s="12" t="s">
        <v>346</v>
      </c>
    </row>
    <row r="68" customFormat="false" ht="26.85" hidden="false" customHeight="false" outlineLevel="0" collapsed="false">
      <c r="A68" s="12" t="s">
        <v>32</v>
      </c>
      <c r="B68" s="12" t="s">
        <v>347</v>
      </c>
      <c r="C68" s="12" t="s">
        <v>348</v>
      </c>
      <c r="D68" s="12" t="s">
        <v>336</v>
      </c>
      <c r="E68" s="12" t="s">
        <v>349</v>
      </c>
    </row>
    <row r="69" customFormat="false" ht="26.85" hidden="false" customHeight="false" outlineLevel="0" collapsed="false">
      <c r="A69" s="12" t="s">
        <v>32</v>
      </c>
      <c r="B69" s="12" t="s">
        <v>350</v>
      </c>
      <c r="C69" s="12" t="s">
        <v>351</v>
      </c>
      <c r="D69" s="12" t="s">
        <v>336</v>
      </c>
      <c r="E69" s="12" t="s">
        <v>352</v>
      </c>
    </row>
    <row r="70" customFormat="false" ht="26.85" hidden="false" customHeight="false" outlineLevel="0" collapsed="false">
      <c r="A70" s="12" t="s">
        <v>32</v>
      </c>
      <c r="B70" s="12" t="s">
        <v>353</v>
      </c>
      <c r="C70" s="12" t="s">
        <v>354</v>
      </c>
      <c r="D70" s="12" t="s">
        <v>332</v>
      </c>
      <c r="E70" s="12" t="s">
        <v>355</v>
      </c>
    </row>
    <row r="71" customFormat="false" ht="26.85" hidden="false" customHeight="false" outlineLevel="0" collapsed="false">
      <c r="A71" s="12" t="s">
        <v>32</v>
      </c>
      <c r="B71" s="12" t="s">
        <v>356</v>
      </c>
      <c r="C71" s="12" t="s">
        <v>357</v>
      </c>
      <c r="D71" s="12" t="s">
        <v>336</v>
      </c>
      <c r="E71" s="12" t="s">
        <v>358</v>
      </c>
    </row>
    <row r="72" customFormat="false" ht="26.85" hidden="false" customHeight="false" outlineLevel="0" collapsed="false">
      <c r="A72" s="12" t="s">
        <v>32</v>
      </c>
      <c r="B72" s="12" t="s">
        <v>359</v>
      </c>
      <c r="C72" s="12" t="s">
        <v>360</v>
      </c>
      <c r="D72" s="12" t="s">
        <v>336</v>
      </c>
      <c r="E72" s="12" t="s">
        <v>361</v>
      </c>
    </row>
    <row r="73" customFormat="false" ht="26.85" hidden="false" customHeight="false" outlineLevel="0" collapsed="false">
      <c r="A73" s="12" t="s">
        <v>32</v>
      </c>
      <c r="B73" s="12" t="s">
        <v>362</v>
      </c>
      <c r="C73" s="12" t="s">
        <v>363</v>
      </c>
      <c r="D73" s="12" t="s">
        <v>336</v>
      </c>
      <c r="E73" s="12" t="s">
        <v>364</v>
      </c>
    </row>
    <row r="74" customFormat="false" ht="26.85" hidden="false" customHeight="false" outlineLevel="0" collapsed="false">
      <c r="A74" s="12" t="s">
        <v>32</v>
      </c>
      <c r="B74" s="12" t="s">
        <v>365</v>
      </c>
      <c r="C74" s="12" t="s">
        <v>366</v>
      </c>
      <c r="D74" s="12" t="s">
        <v>336</v>
      </c>
      <c r="E74" s="12" t="s">
        <v>367</v>
      </c>
    </row>
    <row r="75" customFormat="false" ht="26.85" hidden="false" customHeight="false" outlineLevel="0" collapsed="false">
      <c r="A75" s="12" t="s">
        <v>32</v>
      </c>
      <c r="B75" s="12" t="s">
        <v>368</v>
      </c>
      <c r="C75" s="12" t="s">
        <v>369</v>
      </c>
      <c r="D75" s="12" t="s">
        <v>370</v>
      </c>
      <c r="E75" s="12" t="s">
        <v>371</v>
      </c>
    </row>
    <row r="76" customFormat="false" ht="26.85" hidden="false" customHeight="false" outlineLevel="0" collapsed="false">
      <c r="A76" s="12" t="s">
        <v>32</v>
      </c>
      <c r="B76" s="12" t="s">
        <v>372</v>
      </c>
      <c r="C76" s="12" t="s">
        <v>373</v>
      </c>
      <c r="D76" s="12" t="s">
        <v>336</v>
      </c>
      <c r="E76" s="12" t="s">
        <v>374</v>
      </c>
    </row>
    <row r="77" customFormat="false" ht="26.85" hidden="false" customHeight="false" outlineLevel="0" collapsed="false">
      <c r="A77" s="12" t="s">
        <v>32</v>
      </c>
      <c r="B77" s="12" t="s">
        <v>375</v>
      </c>
      <c r="C77" s="12" t="s">
        <v>376</v>
      </c>
      <c r="D77" s="12" t="s">
        <v>336</v>
      </c>
      <c r="E77" s="12" t="s">
        <v>377</v>
      </c>
    </row>
    <row r="78" customFormat="false" ht="26.85" hidden="false" customHeight="false" outlineLevel="0" collapsed="false">
      <c r="A78" s="12" t="s">
        <v>32</v>
      </c>
      <c r="B78" s="12" t="s">
        <v>378</v>
      </c>
      <c r="C78" s="12" t="s">
        <v>379</v>
      </c>
      <c r="D78" s="12" t="s">
        <v>336</v>
      </c>
      <c r="E78" s="12" t="s">
        <v>380</v>
      </c>
    </row>
    <row r="79" customFormat="false" ht="26.85" hidden="false" customHeight="false" outlineLevel="0" collapsed="false">
      <c r="A79" s="12" t="s">
        <v>32</v>
      </c>
      <c r="B79" s="12" t="s">
        <v>381</v>
      </c>
      <c r="C79" s="12" t="s">
        <v>382</v>
      </c>
      <c r="D79" s="12" t="s">
        <v>336</v>
      </c>
      <c r="E79" s="12" t="s">
        <v>383</v>
      </c>
    </row>
    <row r="80" customFormat="false" ht="26.85" hidden="false" customHeight="false" outlineLevel="0" collapsed="false">
      <c r="A80" s="12" t="s">
        <v>32</v>
      </c>
      <c r="B80" s="12" t="s">
        <v>384</v>
      </c>
      <c r="C80" s="12" t="s">
        <v>385</v>
      </c>
      <c r="D80" s="12" t="s">
        <v>336</v>
      </c>
      <c r="E80" s="12" t="s">
        <v>386</v>
      </c>
    </row>
    <row r="81" customFormat="false" ht="26.85" hidden="false" customHeight="false" outlineLevel="0" collapsed="false">
      <c r="A81" s="12" t="s">
        <v>32</v>
      </c>
      <c r="B81" s="12" t="s">
        <v>387</v>
      </c>
      <c r="C81" s="12" t="s">
        <v>388</v>
      </c>
      <c r="D81" s="12" t="s">
        <v>336</v>
      </c>
      <c r="E81" s="12" t="s">
        <v>389</v>
      </c>
    </row>
    <row r="83" customFormat="false" ht="15" hidden="false" customHeight="false" outlineLevel="0" collapsed="false">
      <c r="A83" s="6" t="str">
        <f aca="false">"Relics: "&amp;COUNTIF(A2:A81,"Relic")&amp;" · Consumables: "&amp;COUNTIF(A2:A81,"Consumable")</f>
        <v>Relics: 61 · Consumables: 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2026-10-13T08:31:20Z</dcterms:created>
  <dc:creator>openpyxl</dc:creator>
  <dc:description/>
  <dc:language>en-US</dc:language>
  <cp:lastModifiedBy/>
  <dcterms:modified xsi:type="dcterms:W3CDTF">2026-10-13T08:31:20Z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